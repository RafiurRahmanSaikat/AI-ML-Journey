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<sst xmlns="http://schemas.openxmlformats.org/spreadsheetml/2006/main" uniqueCount="1159">
  <si>
    <t>ID</t>
  </si>
  <si>
    <t>Roll</t>
  </si>
  <si>
    <t>Name</t>
  </si>
  <si>
    <t>Father Name</t>
  </si>
  <si>
    <t>Father Name (Bangla)</t>
  </si>
  <si>
    <t>Mother Name</t>
  </si>
  <si>
    <t>Mother Name (Bangla)</t>
  </si>
  <si>
    <t>Class</t>
  </si>
  <si>
    <t>Section</t>
  </si>
  <si>
    <t>Date of Birth</t>
  </si>
  <si>
    <t>Phone</t>
  </si>
  <si>
    <t>Address</t>
  </si>
  <si>
    <t>NUSRAT JANNAT</t>
  </si>
  <si>
    <t>ABDUL HANNAN</t>
  </si>
  <si>
    <t>SUMI BEGUM</t>
  </si>
  <si>
    <t>SIX</t>
  </si>
  <si>
    <t>A</t>
  </si>
  <si>
    <t>2014-11-21</t>
  </si>
  <si>
    <t>KAZI TANJINA BEGUM</t>
  </si>
  <si>
    <t>KAZI SUBA MIAH</t>
  </si>
  <si>
    <t>MST RAZIAH BEGUM</t>
  </si>
  <si>
    <t>Ten</t>
  </si>
  <si>
    <t>2010-02-25</t>
  </si>
  <si>
    <t>THANAGAON</t>
  </si>
  <si>
    <t xml:space="preserve">ESRAR JANNAT NUHI </t>
  </si>
  <si>
    <t xml:space="preserve">SHAMSUL ALOM </t>
  </si>
  <si>
    <t xml:space="preserve">TANJINA AKTAR PONEY </t>
  </si>
  <si>
    <t>Seven</t>
  </si>
  <si>
    <t>2013-05-22</t>
  </si>
  <si>
    <t xml:space="preserve">SULTANPUR </t>
  </si>
  <si>
    <t>MARJANA BEGUM</t>
  </si>
  <si>
    <t>SHAH ALOM</t>
  </si>
  <si>
    <t xml:space="preserve">ZAHIRA BEGUM </t>
  </si>
  <si>
    <t>2014-02-10</t>
  </si>
  <si>
    <t>SANJIDA BEGUM MILI</t>
  </si>
  <si>
    <t>MST SALMA BEGUM</t>
  </si>
  <si>
    <t>Eight</t>
  </si>
  <si>
    <t>2012-08-10</t>
  </si>
  <si>
    <t>NIYAMOTHPUR</t>
  </si>
  <si>
    <t>MST SADIA BEGUM</t>
  </si>
  <si>
    <t>MD KAYES AHMED</t>
  </si>
  <si>
    <t>MST NAZMA BEGUM</t>
  </si>
  <si>
    <t>Nine</t>
  </si>
  <si>
    <t>2011-05-10</t>
  </si>
  <si>
    <t>ESAMOTHI</t>
  </si>
  <si>
    <t>TAHMINA AKTER TAMANNA</t>
  </si>
  <si>
    <t>SADEK ALI</t>
  </si>
  <si>
    <t>SAYA BEGUM</t>
  </si>
  <si>
    <t>2014-01-02</t>
  </si>
  <si>
    <t>MST SOHEDA AKTHER SADIYA</t>
  </si>
  <si>
    <t>MD DUDU MIAH</t>
  </si>
  <si>
    <t>LUTHFA BEGUM</t>
  </si>
  <si>
    <t>2010-06-12</t>
  </si>
  <si>
    <t>PORIARKHAI</t>
  </si>
  <si>
    <t xml:space="preserve">JAKIYA TANJIN </t>
  </si>
  <si>
    <t xml:space="preserve">ALI HOSUEN </t>
  </si>
  <si>
    <t xml:space="preserve">BADENA BEGUM </t>
  </si>
  <si>
    <t>2014-04-17</t>
  </si>
  <si>
    <t>MST ANI BEGUM</t>
  </si>
  <si>
    <t>SHAFIQUE MIAH</t>
  </si>
  <si>
    <t>ASMA BEGUM</t>
  </si>
  <si>
    <t>2012-12-28</t>
  </si>
  <si>
    <t>MD SAMIUL HASAN SANI</t>
  </si>
  <si>
    <t>SHAJAN MIAH</t>
  </si>
  <si>
    <t>MST HAPPY BEGUM</t>
  </si>
  <si>
    <t>2011-11-20</t>
  </si>
  <si>
    <t>TAWHIDA JANNAT TABASSUM</t>
  </si>
  <si>
    <t>MD ABDUL HASAN</t>
  </si>
  <si>
    <t>MST RUHENA BEGUM</t>
  </si>
  <si>
    <t>2014-12-24</t>
  </si>
  <si>
    <t>SAMIRA YASMIN EMA</t>
  </si>
  <si>
    <t>MOYNA MIAH</t>
  </si>
  <si>
    <t>SUETI AKTAR</t>
  </si>
  <si>
    <t>2011-05-06</t>
  </si>
  <si>
    <t>THANAGAON SULTANPUR</t>
  </si>
  <si>
    <t xml:space="preserve">MONIRA AKTHER JANNAH </t>
  </si>
  <si>
    <t xml:space="preserve">MD ABU SUFEYN </t>
  </si>
  <si>
    <t xml:space="preserve">JONI BEGUM </t>
  </si>
  <si>
    <t>2013-08-30</t>
  </si>
  <si>
    <t xml:space="preserve">TANIA AKTHER </t>
  </si>
  <si>
    <t>SEFESF</t>
  </si>
  <si>
    <t>Rumana Akther</t>
  </si>
  <si>
    <t>0001-01-01</t>
  </si>
  <si>
    <t>CCG</t>
  </si>
  <si>
    <t>RITTIKA SUTRADHAR ORSHA</t>
  </si>
  <si>
    <t>NIPENDRO SUTRADHAR</t>
  </si>
  <si>
    <t>HELON RANI SUTRADHAR</t>
  </si>
  <si>
    <t>2012-01-17</t>
  </si>
  <si>
    <t xml:space="preserve">THANAGAON </t>
  </si>
  <si>
    <t>SADIA FARJANA MIM</t>
  </si>
  <si>
    <t>MD SADIK ALI</t>
  </si>
  <si>
    <t>SHAZNA BEGUM</t>
  </si>
  <si>
    <t>2013-05-15</t>
  </si>
  <si>
    <t>SAIDA AFRIN PAPIYA</t>
  </si>
  <si>
    <t>FIRUJ ALI</t>
  </si>
  <si>
    <t>MST AYSA BEGUM</t>
  </si>
  <si>
    <t>2010-09-01</t>
  </si>
  <si>
    <t>THANAGAON ATHGAON</t>
  </si>
  <si>
    <t xml:space="preserve">ANISA NUJHAT LISA </t>
  </si>
  <si>
    <t xml:space="preserve">ABDUL GAFOOR </t>
  </si>
  <si>
    <t xml:space="preserve">SULTANA PARVIN SHIMA </t>
  </si>
  <si>
    <t>2013-09-16</t>
  </si>
  <si>
    <t xml:space="preserve">THANAGAON MAJPARA </t>
  </si>
  <si>
    <t>JANNATUL FERDAUS TANNI</t>
  </si>
  <si>
    <t>ABDUL AHAED</t>
  </si>
  <si>
    <t>MST RAHEMIA BEGUM</t>
  </si>
  <si>
    <t>2012-01-20</t>
  </si>
  <si>
    <t>SANIYAT BEGUM</t>
  </si>
  <si>
    <t>MD ABDUL HALIM</t>
  </si>
  <si>
    <t>MST SHAHELI AKTAR SHAJNA</t>
  </si>
  <si>
    <t>2010-03-20</t>
  </si>
  <si>
    <t>BRAHMAN  SHASON</t>
  </si>
  <si>
    <t>FAHMIDA AKTER RIMI</t>
  </si>
  <si>
    <t>JALAL MIAH</t>
  </si>
  <si>
    <t>MST SANARA BEGUM</t>
  </si>
  <si>
    <t>2013-09-30</t>
  </si>
  <si>
    <t>MST SAMIYA AKTHER</t>
  </si>
  <si>
    <t>MD. SAYAD BOKSH</t>
  </si>
  <si>
    <t>MST. LABLI BEGUM</t>
  </si>
  <si>
    <t>2011-04-25</t>
  </si>
  <si>
    <t>Sunathita Fokirpara</t>
  </si>
  <si>
    <t xml:space="preserve">HALIMA JANNAT RULI </t>
  </si>
  <si>
    <t>MD SHAJAHAN ALI</t>
  </si>
  <si>
    <t xml:space="preserve">MST HAPPY AKTER </t>
  </si>
  <si>
    <t>2013-07-30</t>
  </si>
  <si>
    <t>MST ISRAT JAHAN TAYEBA</t>
  </si>
  <si>
    <t>MD DILU MIAH</t>
  </si>
  <si>
    <t>SULTANA PARVIN SHIBLI</t>
  </si>
  <si>
    <t>2011-09-09</t>
  </si>
  <si>
    <t>MASKURA BEGUM</t>
  </si>
  <si>
    <t>MD ABDULLAH MUSLEH</t>
  </si>
  <si>
    <t>MINARA BEGUM</t>
  </si>
  <si>
    <t>2010-08-27</t>
  </si>
  <si>
    <t>KHADIJA TUJ JOHURA</t>
  </si>
  <si>
    <t>MOHAMMED RUHEL AMIN</t>
  </si>
  <si>
    <t>SAMELY BEGUM</t>
  </si>
  <si>
    <t>2015-11-10</t>
  </si>
  <si>
    <t>MST KHADIJA AKTHER</t>
  </si>
  <si>
    <t>MD ANOWAR ALI</t>
  </si>
  <si>
    <t>MONWARA BEGUM</t>
  </si>
  <si>
    <t>2011-12-07</t>
  </si>
  <si>
    <t xml:space="preserve">ANIFA JANNAT </t>
  </si>
  <si>
    <t xml:space="preserve">FARUK MIAH </t>
  </si>
  <si>
    <t xml:space="preserve">JUMI BEGUM </t>
  </si>
  <si>
    <t>2013-04-01</t>
  </si>
  <si>
    <t>RUMI BEGUM</t>
  </si>
  <si>
    <t>MD ABDUL MALIK</t>
  </si>
  <si>
    <t>MST SAJEDA BEGUM</t>
  </si>
  <si>
    <t>2010-03-02</t>
  </si>
  <si>
    <t>BETHKHAI</t>
  </si>
  <si>
    <t>KOLI AKTAR MILI</t>
  </si>
  <si>
    <t>SOYAB ALI</t>
  </si>
  <si>
    <t>HELON BEGUM</t>
  </si>
  <si>
    <t>2010-12-12</t>
  </si>
  <si>
    <t>JANNATUL FERDOUSE AKHI</t>
  </si>
  <si>
    <t>MD ASOD ALI</t>
  </si>
  <si>
    <t>MST RINA BEGUM</t>
  </si>
  <si>
    <t>0020-09-08</t>
  </si>
  <si>
    <t>SHAH IZMA SULTANA</t>
  </si>
  <si>
    <t>HAZI ALMAS ALI</t>
  </si>
  <si>
    <t>SHAHEDA BEGUM</t>
  </si>
  <si>
    <t>2012-03-02</t>
  </si>
  <si>
    <t xml:space="preserve">MAHIRA BEGUM </t>
  </si>
  <si>
    <t xml:space="preserve">MD ALMAS ALI </t>
  </si>
  <si>
    <t xml:space="preserve">MST SAYERA BEGUM </t>
  </si>
  <si>
    <t>2013-11-02</t>
  </si>
  <si>
    <t>RAHIMA AKTHER MUNNI</t>
  </si>
  <si>
    <t>MD NAJIR AHMED</t>
  </si>
  <si>
    <t>RAHELA BEGUM</t>
  </si>
  <si>
    <t>2010-03-04</t>
  </si>
  <si>
    <t>NASIR UDDIN SOWROV</t>
  </si>
  <si>
    <t>MD ABDUS SHOHID DUDU</t>
  </si>
  <si>
    <t>DOLY BEGUM</t>
  </si>
  <si>
    <t>2011-09-25</t>
  </si>
  <si>
    <t>MARIA JANNAT</t>
  </si>
  <si>
    <t>JUBAYER AHMED JOGLU</t>
  </si>
  <si>
    <t>MST CHADNI BEGUM</t>
  </si>
  <si>
    <t>2014-12-08</t>
  </si>
  <si>
    <t>KAZI LOTIFA AKTER TANJINA</t>
  </si>
  <si>
    <t>KAZI ANHAR MIAH</t>
  </si>
  <si>
    <t>SULTANA BEGUM</t>
  </si>
  <si>
    <t>2010-05-25</t>
  </si>
  <si>
    <t>KAJIPARA</t>
  </si>
  <si>
    <t xml:space="preserve">ANISA BEGUM SHUVA </t>
  </si>
  <si>
    <t>MD ATAUR RAHMAN</t>
  </si>
  <si>
    <t>MST SAIDA AKTER NIPA</t>
  </si>
  <si>
    <t>2014-04-04</t>
  </si>
  <si>
    <t xml:space="preserve">RAYSRODDA </t>
  </si>
  <si>
    <t>SADIKA AKHTAR TAHIYA</t>
  </si>
  <si>
    <t>MD ASIK ALI</t>
  </si>
  <si>
    <t>MST TASLIMA BEGUM</t>
  </si>
  <si>
    <t>2012-10-10</t>
  </si>
  <si>
    <t>MD JUNED AHMED</t>
  </si>
  <si>
    <t>MIR ALI</t>
  </si>
  <si>
    <t>SHELINA BEGUM</t>
  </si>
  <si>
    <t>2010-10-12</t>
  </si>
  <si>
    <t>RIYANA AKTHER NAIMA</t>
  </si>
  <si>
    <t>MOHAMMED ALI</t>
  </si>
  <si>
    <t>MST SAHENA BEGUM</t>
  </si>
  <si>
    <t>2013-09-29</t>
  </si>
  <si>
    <t>NAIMA BEGUM</t>
  </si>
  <si>
    <t>MD LAYEK AHMED</t>
  </si>
  <si>
    <t>MST. NASIMA BEGUM</t>
  </si>
  <si>
    <t>2010-11-15</t>
  </si>
  <si>
    <t xml:space="preserve">ANIKA JANNAT FATIMA </t>
  </si>
  <si>
    <t xml:space="preserve">MD ABDUL KARIM </t>
  </si>
  <si>
    <t xml:space="preserve">SHAKI AKTER </t>
  </si>
  <si>
    <t>2013-06-07</t>
  </si>
  <si>
    <t>ABDUL BARIK</t>
  </si>
  <si>
    <t>MST RUKSANA BEGUM</t>
  </si>
  <si>
    <t>2011-06-08</t>
  </si>
  <si>
    <t>SHAKIRAH BEGUM</t>
  </si>
  <si>
    <t>MD JAMIL AHMED</t>
  </si>
  <si>
    <t>ASIK MIAH</t>
  </si>
  <si>
    <t>NASIMA BEGUM</t>
  </si>
  <si>
    <t>2015-01-11</t>
  </si>
  <si>
    <t>SUMONA BEGUM</t>
  </si>
  <si>
    <t>ABDUR RUP</t>
  </si>
  <si>
    <t>DILARA BEGUM</t>
  </si>
  <si>
    <t>2010-08-02</t>
  </si>
  <si>
    <t>Thanagaon Kunabon</t>
  </si>
  <si>
    <t xml:space="preserve">ANISHA AKTER ALIYA </t>
  </si>
  <si>
    <t xml:space="preserve">HELAL MIAH </t>
  </si>
  <si>
    <t xml:space="preserve">AKLEMA BEGUM </t>
  </si>
  <si>
    <t>2013-08-02</t>
  </si>
  <si>
    <t>TANNI BEGUM</t>
  </si>
  <si>
    <t>MD CHAN MIAH</t>
  </si>
  <si>
    <t>RITA BEGUM</t>
  </si>
  <si>
    <t>2011-10-18</t>
  </si>
  <si>
    <t>TANJINA BEGUM</t>
  </si>
  <si>
    <t>MD NUNU MIAH</t>
  </si>
  <si>
    <t>MST LACKY BEGUM</t>
  </si>
  <si>
    <t>2009-06-21</t>
  </si>
  <si>
    <t>FAHIM AHMED</t>
  </si>
  <si>
    <t>MD FOJLU  MIAH</t>
  </si>
  <si>
    <t>SAJNA BEGUM</t>
  </si>
  <si>
    <t>2012-11-20</t>
  </si>
  <si>
    <t>KAZI FARJANA AKTER TANIYA</t>
  </si>
  <si>
    <t>KAZI ABDAL MIAH</t>
  </si>
  <si>
    <t>MONUWARA BEGUM</t>
  </si>
  <si>
    <t>2010-07-27</t>
  </si>
  <si>
    <t xml:space="preserve">HASAN AHMED </t>
  </si>
  <si>
    <t xml:space="preserve">MD ELAS MIAH </t>
  </si>
  <si>
    <t xml:space="preserve">ASMA BEGUM </t>
  </si>
  <si>
    <t>2013-02-22</t>
  </si>
  <si>
    <t>SAIMA BEGUM</t>
  </si>
  <si>
    <t>MST NASIMA BEGUM</t>
  </si>
  <si>
    <t>2012-02-01</t>
  </si>
  <si>
    <t>MARUYA BEGUM</t>
  </si>
  <si>
    <t>MUHAMMAD AHIYA</t>
  </si>
  <si>
    <t>RAZIA BEGUM</t>
  </si>
  <si>
    <t>2011-10-31</t>
  </si>
  <si>
    <t xml:space="preserve">SUNATHITA </t>
  </si>
  <si>
    <t>MAHIYA AKTER HABIBA</t>
  </si>
  <si>
    <t>AKBOR ALI</t>
  </si>
  <si>
    <t>RUKSANA BEGUM</t>
  </si>
  <si>
    <t>2014-07-19</t>
  </si>
  <si>
    <t>LIZA AKTHER LIMA</t>
  </si>
  <si>
    <t>MUHAMMAD ABDUL KALIK</t>
  </si>
  <si>
    <t>NURBI BEGUM</t>
  </si>
  <si>
    <t>2010-10-30</t>
  </si>
  <si>
    <t>THANAGAON SUNATITHA</t>
  </si>
  <si>
    <t xml:space="preserve">MAHFUJUR RAHMAN </t>
  </si>
  <si>
    <t xml:space="preserve">MOKLIS MIAH </t>
  </si>
  <si>
    <t xml:space="preserve">MST. SHAHEDA BEGUM </t>
  </si>
  <si>
    <t>2012-09-17</t>
  </si>
  <si>
    <t>LABIB AHMED</t>
  </si>
  <si>
    <t>DOBIR AHMED</t>
  </si>
  <si>
    <t>MASHHUDA AKTAR DILRUBA</t>
  </si>
  <si>
    <t>2012-10-18</t>
  </si>
  <si>
    <t>MST SOHANA HASAN TASNIM</t>
  </si>
  <si>
    <t>KOMRUCH ALI</t>
  </si>
  <si>
    <t>MST TANIA HASAN MILI</t>
  </si>
  <si>
    <t>2011-11-26</t>
  </si>
  <si>
    <t>SABIHA RAHMAN  MASIYA</t>
  </si>
  <si>
    <t>MD SHAJU AHMED</t>
  </si>
  <si>
    <t>SABANA BEGUM</t>
  </si>
  <si>
    <t>2014-10-13</t>
  </si>
  <si>
    <t>MST AFSANA JANNAT SAMIRA</t>
  </si>
  <si>
    <t>MD DILWAR HUSSAN SHAMIM</t>
  </si>
  <si>
    <t>MST NUHIBA KHATUN RUMANA</t>
  </si>
  <si>
    <t>2010-05-29</t>
  </si>
  <si>
    <t>SULTANPUR</t>
  </si>
  <si>
    <t xml:space="preserve">MD ALINUR </t>
  </si>
  <si>
    <t xml:space="preserve">MD LIAKOT ALI </t>
  </si>
  <si>
    <t xml:space="preserve">MST REJIA BEGUM </t>
  </si>
  <si>
    <t>2009-05-07</t>
  </si>
  <si>
    <t>FAIZA JANNAT MIM</t>
  </si>
  <si>
    <t>MD TOZOMUL ALI</t>
  </si>
  <si>
    <t>HAPPY BEGUM</t>
  </si>
  <si>
    <t>2012-05-24</t>
  </si>
  <si>
    <t>MARJAN AHMED</t>
  </si>
  <si>
    <t xml:space="preserve"> MD AFIK ALI</t>
  </si>
  <si>
    <t>HASNA BEGUM</t>
  </si>
  <si>
    <t>2010-12-01</t>
  </si>
  <si>
    <t>UJJOL AHMED TAMBIR</t>
  </si>
  <si>
    <t>MD JILU MIAH</t>
  </si>
  <si>
    <t>RINA BEGUM</t>
  </si>
  <si>
    <t>2014-12-13</t>
  </si>
  <si>
    <t>TAHMINA BEGUM</t>
  </si>
  <si>
    <t>MD TOYMUS ALI</t>
  </si>
  <si>
    <t>AMBIA BEGUM</t>
  </si>
  <si>
    <t>2009-01-09</t>
  </si>
  <si>
    <t>KAJIRGAON</t>
  </si>
  <si>
    <t xml:space="preserve">JAKARIA AHMED CHOWDHURY </t>
  </si>
  <si>
    <t xml:space="preserve">MD JUNAYED AHMED CHOWDHURY </t>
  </si>
  <si>
    <t xml:space="preserve">TAHMINA AKTHER CHOWDHURY </t>
  </si>
  <si>
    <t>2014-01-09</t>
  </si>
  <si>
    <t>SHAHARA BEGUM</t>
  </si>
  <si>
    <t>MD ANOWAR HOSSAIN KALA</t>
  </si>
  <si>
    <t>AMENA BEGUM</t>
  </si>
  <si>
    <t>2012-01-02</t>
  </si>
  <si>
    <t>THANAGAON KUNABON</t>
  </si>
  <si>
    <t>SAMIYA AKTHER</t>
  </si>
  <si>
    <t>MD SAMOK ALI</t>
  </si>
  <si>
    <t>MST PERVIN BEGUM</t>
  </si>
  <si>
    <t>2010-05-24</t>
  </si>
  <si>
    <t xml:space="preserve">THANAGAON MOSJIDPARA </t>
  </si>
  <si>
    <t>HAMIDA BEGUM</t>
  </si>
  <si>
    <t>MD SURAT ALI</t>
  </si>
  <si>
    <t>MST AFIA BEGUM</t>
  </si>
  <si>
    <t>2010-09-04</t>
  </si>
  <si>
    <t>THANAGAON BETHKHAI</t>
  </si>
  <si>
    <t xml:space="preserve">FARHANA  BEGUM </t>
  </si>
  <si>
    <t xml:space="preserve">LELO MIAH </t>
  </si>
  <si>
    <t xml:space="preserve">RAHELA BEGUM </t>
  </si>
  <si>
    <t>2013-09-03</t>
  </si>
  <si>
    <t>SUMA RANI MALAKAR</t>
  </si>
  <si>
    <t>SUDONNO MALAKAR</t>
  </si>
  <si>
    <t>AROTI MALAKAR</t>
  </si>
  <si>
    <t>2012-02-13</t>
  </si>
  <si>
    <t>MST MAHIMA BEGUM</t>
  </si>
  <si>
    <t>MD ABDAL MIAH</t>
  </si>
  <si>
    <t>MST YASMIN BEGUM</t>
  </si>
  <si>
    <t>2010-01-08</t>
  </si>
  <si>
    <t>JAKIA JANNAT MIM</t>
  </si>
  <si>
    <t>MD ABDUL LATIF</t>
  </si>
  <si>
    <t>NAVY AKTER</t>
  </si>
  <si>
    <t>2014-12-02</t>
  </si>
  <si>
    <t>MADIHA SULTANA</t>
  </si>
  <si>
    <t>MOHAMMAD LUKMAN AHMED</t>
  </si>
  <si>
    <t>JESMIN SULTANA</t>
  </si>
  <si>
    <t>2010-12-24</t>
  </si>
  <si>
    <t>THANAGAON MAJPARA</t>
  </si>
  <si>
    <t xml:space="preserve">MST RULI BEGUM </t>
  </si>
  <si>
    <t>MD FOZLU MIAH</t>
  </si>
  <si>
    <t>MST DILARA BEGUM</t>
  </si>
  <si>
    <t>2013-03-17</t>
  </si>
  <si>
    <t xml:space="preserve">HUSENPUR </t>
  </si>
  <si>
    <t>MARUFA BEGUM</t>
  </si>
  <si>
    <t>MD ABDUL RAKIB</t>
  </si>
  <si>
    <t>FAHIMA BEGUM</t>
  </si>
  <si>
    <t>2012-11-06</t>
  </si>
  <si>
    <t>MD AFIK ALI</t>
  </si>
  <si>
    <t>2009-06-16</t>
  </si>
  <si>
    <t>KAZI MD TAZRUL ISLAM</t>
  </si>
  <si>
    <t>2014-01-29</t>
  </si>
  <si>
    <t>HABIBA  BEGUM</t>
  </si>
  <si>
    <t>MOHAMMED RIPON MIAH</t>
  </si>
  <si>
    <t>2009-06-24</t>
  </si>
  <si>
    <t xml:space="preserve">MST SHAHIDA AKTHER ONI </t>
  </si>
  <si>
    <t xml:space="preserve">MD AKHLU MIAH </t>
  </si>
  <si>
    <t xml:space="preserve">RINA BEGUM </t>
  </si>
  <si>
    <t>2013-05-27</t>
  </si>
  <si>
    <t>JIYAM AHMED CHOWDHURY</t>
  </si>
  <si>
    <t>JUDER AHMED CHOWDUR</t>
  </si>
  <si>
    <t>TANJIDA AKTHER JAKERA</t>
  </si>
  <si>
    <t>2013-09-18</t>
  </si>
  <si>
    <t>MAHFUJ AHMED</t>
  </si>
  <si>
    <t>SAISTA MIAH</t>
  </si>
  <si>
    <t>SELINA BEGUM</t>
  </si>
  <si>
    <t>2011-04-23</t>
  </si>
  <si>
    <t>RAHIM MIYA</t>
  </si>
  <si>
    <t>MINAR MIAH</t>
  </si>
  <si>
    <t>HASINA BEGUM</t>
  </si>
  <si>
    <t>2014-12-11</t>
  </si>
  <si>
    <t>MST KHADIJA BEGUM</t>
  </si>
  <si>
    <t>JAMIR ALI</t>
  </si>
  <si>
    <t>BEDANA BEGUM</t>
  </si>
  <si>
    <t>2010-11-18</t>
  </si>
  <si>
    <t xml:space="preserve">FOKHRUL AHMED </t>
  </si>
  <si>
    <t xml:space="preserve">JOGLU  MIAH </t>
  </si>
  <si>
    <t xml:space="preserve">JAHANARA BEGUM </t>
  </si>
  <si>
    <t>2013-07-03</t>
  </si>
  <si>
    <t xml:space="preserve">RAHIMA AKTHER KOLI </t>
  </si>
  <si>
    <t xml:space="preserve">MD FOZLU MIAH </t>
  </si>
  <si>
    <t>MST RASNA BEGUM</t>
  </si>
  <si>
    <t>2012-11-11</t>
  </si>
  <si>
    <t>ANIKA YASMIN RIYA</t>
  </si>
  <si>
    <t>MD FULNDR MIAH</t>
  </si>
  <si>
    <t>JUSNA BEGUM</t>
  </si>
  <si>
    <t>2011-07-23</t>
  </si>
  <si>
    <t>JAMILA BEGUM FAIZA</t>
  </si>
  <si>
    <t>MD NURUL HOSSAIN</t>
  </si>
  <si>
    <t>POLI BEGUM</t>
  </si>
  <si>
    <t>2013-02-12</t>
  </si>
  <si>
    <t xml:space="preserve">JUBAYER AHMED </t>
  </si>
  <si>
    <t xml:space="preserve">BULU AHMED </t>
  </si>
  <si>
    <t xml:space="preserve">MUNNA AKTER NIPA </t>
  </si>
  <si>
    <t>2014-05-03</t>
  </si>
  <si>
    <t xml:space="preserve">BRAHMAN  SHASON </t>
  </si>
  <si>
    <t>ABDULLAH BIN IFTI</t>
  </si>
  <si>
    <t>JUNU MIAH</t>
  </si>
  <si>
    <t>RAJNA KHANOM</t>
  </si>
  <si>
    <t>2013-11-03</t>
  </si>
  <si>
    <t>SHARMIN BEGUM</t>
  </si>
  <si>
    <t>RUHUL AMIN</t>
  </si>
  <si>
    <t>JAIGONN BIBI</t>
  </si>
  <si>
    <t>2011-01-25</t>
  </si>
  <si>
    <t>MD ATTOR ALI</t>
  </si>
  <si>
    <t>MST SHIBLI BEGUM</t>
  </si>
  <si>
    <t>2014-02-07</t>
  </si>
  <si>
    <t>CHAITI RANI DAS</t>
  </si>
  <si>
    <t>JITENDRO DAS</t>
  </si>
  <si>
    <t>NIVA DAS</t>
  </si>
  <si>
    <t>2010-06-06</t>
  </si>
  <si>
    <t xml:space="preserve">MAFUJA SIKDER </t>
  </si>
  <si>
    <t xml:space="preserve">MD SIRAJ UDDIN SIKDER REJU </t>
  </si>
  <si>
    <t xml:space="preserve">HASINA BEGUM </t>
  </si>
  <si>
    <t>2013-05-25</t>
  </si>
  <si>
    <t>THANGAON</t>
  </si>
  <si>
    <t>MD RAHIM AHMED</t>
  </si>
  <si>
    <t>MD NOWAZ ALI</t>
  </si>
  <si>
    <t>MST REBA BEGUM</t>
  </si>
  <si>
    <t>2010-12-22</t>
  </si>
  <si>
    <t>FAIJA BEGUM</t>
  </si>
  <si>
    <t>SAZAD MIAH</t>
  </si>
  <si>
    <t>MST SAFIA BEGUM</t>
  </si>
  <si>
    <t>2009-12-19</t>
  </si>
  <si>
    <t>TASLIMA AKTHER</t>
  </si>
  <si>
    <t>MD ASHOK ALI</t>
  </si>
  <si>
    <t>MST SAYMA BEGUM</t>
  </si>
  <si>
    <t>2010-05-15</t>
  </si>
  <si>
    <t>AMENA KHANOM MAISHA</t>
  </si>
  <si>
    <t xml:space="preserve">SHIRAJ UDDIN KHAN </t>
  </si>
  <si>
    <t xml:space="preserve">SULTANA BEGUM </t>
  </si>
  <si>
    <t>2014-01-31</t>
  </si>
  <si>
    <t>ANIKA BEGUM</t>
  </si>
  <si>
    <t>2011-10-24</t>
  </si>
  <si>
    <t>ANISA BEGUM</t>
  </si>
  <si>
    <t>MOJLU MIAH</t>
  </si>
  <si>
    <t>MST MORIYOM BEGUM</t>
  </si>
  <si>
    <t>2011-06-23</t>
  </si>
  <si>
    <t>SHAHRIYA JANNAT TARIN</t>
  </si>
  <si>
    <t>ABDUS SHOHID SAHIN</t>
  </si>
  <si>
    <t>ROWSHAN BEGUM</t>
  </si>
  <si>
    <t>2009-06-03</t>
  </si>
  <si>
    <t xml:space="preserve">NADIR UDDIN SUHEB </t>
  </si>
  <si>
    <t>MD ABDUS SHOHID (DUDU)</t>
  </si>
  <si>
    <t xml:space="preserve">DOLY BEGUM </t>
  </si>
  <si>
    <t>2013-10-10</t>
  </si>
  <si>
    <t>MD SAMIUL ISLAM  SAMIR</t>
  </si>
  <si>
    <t>MD SOMSHOR ALI</t>
  </si>
  <si>
    <t>RUZINA BEGUM</t>
  </si>
  <si>
    <t>2011-07-01</t>
  </si>
  <si>
    <t>EMON MIAH</t>
  </si>
  <si>
    <t>AYNA MIAH</t>
  </si>
  <si>
    <t>2010-08-24</t>
  </si>
  <si>
    <t>NIHA BEGUM</t>
  </si>
  <si>
    <t>MD SHUHEL MIAH</t>
  </si>
  <si>
    <t>MST HUSNA BEGUM</t>
  </si>
  <si>
    <t>2011-03-01</t>
  </si>
  <si>
    <t xml:space="preserve">MST FAIJA BEGUM </t>
  </si>
  <si>
    <t xml:space="preserve">MD NANU MIAH </t>
  </si>
  <si>
    <t xml:space="preserve">MST LIPI BEGUM </t>
  </si>
  <si>
    <t>2012-11-26</t>
  </si>
  <si>
    <t>ZARIN AKTHER</t>
  </si>
  <si>
    <t>MD ALKAS MIAH</t>
  </si>
  <si>
    <t>RUNA BEGUM</t>
  </si>
  <si>
    <t>2013-05-17</t>
  </si>
  <si>
    <t xml:space="preserve">LALABAZAR </t>
  </si>
  <si>
    <t xml:space="preserve">MST KAJOL BEGUM </t>
  </si>
  <si>
    <t xml:space="preserve">MD ATTOR ALI </t>
  </si>
  <si>
    <t xml:space="preserve">MST RUSNA  BEGUM </t>
  </si>
  <si>
    <t>2011-02-01</t>
  </si>
  <si>
    <t>Nahida Begum</t>
  </si>
  <si>
    <t>IYABOR ALI</t>
  </si>
  <si>
    <t>LAILI BEGUM</t>
  </si>
  <si>
    <t>2009-09-15</t>
  </si>
  <si>
    <t>SAMIA BEGUM</t>
  </si>
  <si>
    <t>RASEL AHMED</t>
  </si>
  <si>
    <t>2012-08-06</t>
  </si>
  <si>
    <t>MAISHA BEGUM EVA</t>
  </si>
  <si>
    <t>2011-07-29</t>
  </si>
  <si>
    <t>MUNNI BEGUM</t>
  </si>
  <si>
    <t>MD RENO MIAH</t>
  </si>
  <si>
    <t>2010-04-04</t>
  </si>
  <si>
    <t xml:space="preserve">MAHIYA BEGUM </t>
  </si>
  <si>
    <t xml:space="preserve">MD ABDUL KALAM </t>
  </si>
  <si>
    <t xml:space="preserve">MST NAJMA BEGUM </t>
  </si>
  <si>
    <t>2012-10-14</t>
  </si>
  <si>
    <t xml:space="preserve">TAHIRPUR </t>
  </si>
  <si>
    <t>MAHIA KHANOM MORIOM</t>
  </si>
  <si>
    <t>BACHCHU MIAH</t>
  </si>
  <si>
    <t>FORIDA ROHMAN CHY</t>
  </si>
  <si>
    <t>JUBAYER AHMED RIDOY</t>
  </si>
  <si>
    <t>2012-05-04</t>
  </si>
  <si>
    <t>MAHBUBUR ROHMAN</t>
  </si>
  <si>
    <t>MD LEBU MIA</t>
  </si>
  <si>
    <t>2013-08-16</t>
  </si>
  <si>
    <t>ANONNYA SUTRADHAR CHAITY</t>
  </si>
  <si>
    <t>RATINDRA KUMAR SUTRADHAR</t>
  </si>
  <si>
    <t>NONDITA RANI DHOR</t>
  </si>
  <si>
    <t>2011-03-07</t>
  </si>
  <si>
    <t xml:space="preserve">RABBI AHMED </t>
  </si>
  <si>
    <t xml:space="preserve">MD AWLAD ALI </t>
  </si>
  <si>
    <t>2011-02-15</t>
  </si>
  <si>
    <t>YASIN AHMED MAFI</t>
  </si>
  <si>
    <t>MUBARAK ALI</t>
  </si>
  <si>
    <t>MST ASMA BEGUM</t>
  </si>
  <si>
    <t>2012-04-12</t>
  </si>
  <si>
    <t>MUHAIMIN TALUKDAR JIHAD</t>
  </si>
  <si>
    <t>JILU MIAH</t>
  </si>
  <si>
    <t>MST RAHELA BEGUM</t>
  </si>
  <si>
    <t>2012-02-21</t>
  </si>
  <si>
    <t>ISRAT ARA MAISHA</t>
  </si>
  <si>
    <t>SUHEL AHMED</t>
  </si>
  <si>
    <t>SYNARA AKTHAR SUNIA</t>
  </si>
  <si>
    <t>2015-08-25</t>
  </si>
  <si>
    <t>KHADIJA JANNAT URMI</t>
  </si>
  <si>
    <t>ABDUL SALAM</t>
  </si>
  <si>
    <t>MST . DILARA BEGUM</t>
  </si>
  <si>
    <t>2011-01-19</t>
  </si>
  <si>
    <t xml:space="preserve">RIYA BEGUM </t>
  </si>
  <si>
    <t xml:space="preserve">MD AFIJ ALI </t>
  </si>
  <si>
    <t xml:space="preserve">MST RUSNA </t>
  </si>
  <si>
    <t>2013-04-15</t>
  </si>
  <si>
    <t>TANIA AKHTER</t>
  </si>
  <si>
    <t>RUBEL MIAH</t>
  </si>
  <si>
    <t>CHANARA BEGUM</t>
  </si>
  <si>
    <t>2013-05-19</t>
  </si>
  <si>
    <t>MD AZAD MIA</t>
  </si>
  <si>
    <t>MST RUSHNA BEGUM</t>
  </si>
  <si>
    <t>2011-08-02</t>
  </si>
  <si>
    <t xml:space="preserve">ATGAON </t>
  </si>
  <si>
    <t>MST NADIRA BEGUM</t>
  </si>
  <si>
    <t>SHEPON MIAH</t>
  </si>
  <si>
    <t>MST  KHURSHEDA BEGUM</t>
  </si>
  <si>
    <t>2014-03-16</t>
  </si>
  <si>
    <t>SAMIRA AKTHER RIYA</t>
  </si>
  <si>
    <t>RASHNA BEGUM</t>
  </si>
  <si>
    <t xml:space="preserve">MD JAKARIYA </t>
  </si>
  <si>
    <t>LESU</t>
  </si>
  <si>
    <t xml:space="preserve">SUBINA BEGUM </t>
  </si>
  <si>
    <t>2012-10-15</t>
  </si>
  <si>
    <t>ABDULLAH AL MAMUN</t>
  </si>
  <si>
    <t>MD MOBOSHIR ALI</t>
  </si>
  <si>
    <t>2011-04-29</t>
  </si>
  <si>
    <t>MST FARJANA BEGUM</t>
  </si>
  <si>
    <t>MD ZOMIR ALI</t>
  </si>
  <si>
    <t>MST SUREFUL NESSA</t>
  </si>
  <si>
    <t>2010-09-10</t>
  </si>
  <si>
    <t>RAHIM AHMED TUHIN</t>
  </si>
  <si>
    <t>SURUZ ALI</t>
  </si>
  <si>
    <t>LIPI BEGUM</t>
  </si>
  <si>
    <t>2013-08-05</t>
  </si>
  <si>
    <t>TAJIBA NUSRAT TAJIN</t>
  </si>
  <si>
    <t>NUNU MIAH</t>
  </si>
  <si>
    <t>SHAKH MST AMBIA BEGUM</t>
  </si>
  <si>
    <t>2010-04-20</t>
  </si>
  <si>
    <t xml:space="preserve">SAYMA AKTHER TAIBA </t>
  </si>
  <si>
    <t xml:space="preserve">SANAR ALI </t>
  </si>
  <si>
    <t xml:space="preserve">SELINA AKTER SUMI </t>
  </si>
  <si>
    <t>2011-09-30</t>
  </si>
  <si>
    <t>RIYA BEGUM</t>
  </si>
  <si>
    <t>RAJU AHMED</t>
  </si>
  <si>
    <t>MST JESMIN BEGUM</t>
  </si>
  <si>
    <t>2012-03-26</t>
  </si>
  <si>
    <t>SADIKA BEGUM</t>
  </si>
  <si>
    <t>SALIK BOX</t>
  </si>
  <si>
    <t>BADANA BEGUM</t>
  </si>
  <si>
    <t>2011-05-20</t>
  </si>
  <si>
    <t>SAKILA BEGUM</t>
  </si>
  <si>
    <t>MD SUNDOR ALI</t>
  </si>
  <si>
    <t>SUJINA BEGUM</t>
  </si>
  <si>
    <t>2014-06-22</t>
  </si>
  <si>
    <t>MST HAJERA AKTER KOLI</t>
  </si>
  <si>
    <t>ABDUR RAHIM</t>
  </si>
  <si>
    <t>SHA HASINA</t>
  </si>
  <si>
    <t>2010-11-10</t>
  </si>
  <si>
    <t>GUFALPUR</t>
  </si>
  <si>
    <t xml:space="preserve">FAIJA AKTER SAMIA </t>
  </si>
  <si>
    <t xml:space="preserve">RUHEL AHMED </t>
  </si>
  <si>
    <t xml:space="preserve">BABLI BEGUM </t>
  </si>
  <si>
    <t>2013-10-27</t>
  </si>
  <si>
    <t>MST NAHIDA JANNAT FAMMI</t>
  </si>
  <si>
    <t>ANHAR ALI</t>
  </si>
  <si>
    <t>FATEMA BEGUM</t>
  </si>
  <si>
    <t>2012-09-24</t>
  </si>
  <si>
    <t>NAJIMA AKTHER</t>
  </si>
  <si>
    <t>SHAHIN MIAH</t>
  </si>
  <si>
    <t>LUCKEY BEGUM</t>
  </si>
  <si>
    <t>2011-02-24</t>
  </si>
  <si>
    <t>SOFIUR RAHMAN</t>
  </si>
  <si>
    <t>MOHIMA BEGUM</t>
  </si>
  <si>
    <t>2011-01-11</t>
  </si>
  <si>
    <t xml:space="preserve">TASLIMA KHANOM FAHMIDA </t>
  </si>
  <si>
    <t xml:space="preserve">MD. IBRAHIM </t>
  </si>
  <si>
    <t xml:space="preserve">MST. NARGIS BAHAR </t>
  </si>
  <si>
    <t>2014-04-24</t>
  </si>
  <si>
    <t>FARHANA BEGUM</t>
  </si>
  <si>
    <t>HARUN MIAH</t>
  </si>
  <si>
    <t>HENA KHANOM</t>
  </si>
  <si>
    <t>2011-05-01</t>
  </si>
  <si>
    <t>TANJIDA AKTHER LIJA</t>
  </si>
  <si>
    <t>RAJIA BEGUM</t>
  </si>
  <si>
    <t>2011-03-24</t>
  </si>
  <si>
    <t xml:space="preserve">SHAH TAHMID ALI RAFI </t>
  </si>
  <si>
    <t xml:space="preserve">SHAH MASKOD ALI </t>
  </si>
  <si>
    <t xml:space="preserve">SABINA YASMIN </t>
  </si>
  <si>
    <t>2014-05-18</t>
  </si>
  <si>
    <t>MD KAMRAN AHMED</t>
  </si>
  <si>
    <t>MD MAKHBUL ALI</t>
  </si>
  <si>
    <t>MST SHIPA BEGUM</t>
  </si>
  <si>
    <t>2011-03-05</t>
  </si>
  <si>
    <t>GUPALPUR</t>
  </si>
  <si>
    <t>MARIYA BEGUM</t>
  </si>
  <si>
    <t>MD ANHAR ALI</t>
  </si>
  <si>
    <t>MST JUSNA BEGUM</t>
  </si>
  <si>
    <t>SHAH SARMIN BEGUM</t>
  </si>
  <si>
    <t>SHAH MOSTAB ALI</t>
  </si>
  <si>
    <t>SADEKA BEGUM</t>
  </si>
  <si>
    <t>2011-02-23</t>
  </si>
  <si>
    <t xml:space="preserve">KAHAF WAKIL AYAN CHOWDHURY </t>
  </si>
  <si>
    <t xml:space="preserve">ABDUS SALAM CHODHURY </t>
  </si>
  <si>
    <t xml:space="preserve">ARIN JAHAN ANY </t>
  </si>
  <si>
    <t>2014-03-17</t>
  </si>
  <si>
    <t>MD SEBUL MIAH</t>
  </si>
  <si>
    <t>MST JONI BEGUM BOX</t>
  </si>
  <si>
    <t>2010-12-27</t>
  </si>
  <si>
    <t>SAFA AHMED</t>
  </si>
  <si>
    <t>NADIYA YASMIN URMI</t>
  </si>
  <si>
    <t>MD MOYEN UDDIN</t>
  </si>
  <si>
    <t>NAJMA BEGUM</t>
  </si>
  <si>
    <t>2009-05-19</t>
  </si>
  <si>
    <t>KAMALPUR BISHWONATH</t>
  </si>
  <si>
    <t xml:space="preserve">RAHIM AHMED RONY </t>
  </si>
  <si>
    <t xml:space="preserve">MUHAMMAD SELIM MIAH </t>
  </si>
  <si>
    <t xml:space="preserve">RUZNA BEGUM </t>
  </si>
  <si>
    <t>2011-11-21</t>
  </si>
  <si>
    <t>SHAH ARIFA JANNAT KUSHBA</t>
  </si>
  <si>
    <t>MAKON MIAH</t>
  </si>
  <si>
    <t>AYESHA BEGUM</t>
  </si>
  <si>
    <t>2012-04-24</t>
  </si>
  <si>
    <t>SHAH SURAIYA JANNAT KEYA</t>
  </si>
  <si>
    <t>AMRAN AHMED</t>
  </si>
  <si>
    <t>SALFA BEGUM</t>
  </si>
  <si>
    <t>2011-01-18</t>
  </si>
  <si>
    <t xml:space="preserve">ANITA CHOWDHURY TUHA </t>
  </si>
  <si>
    <t xml:space="preserve">MD MIZANUR RAHMAN CHOWDHURY </t>
  </si>
  <si>
    <t xml:space="preserve">MST FAHIMA BEGUM  CHOWDHURY </t>
  </si>
  <si>
    <t>2013-09-19</t>
  </si>
  <si>
    <t>LIMA BEGUM</t>
  </si>
  <si>
    <t>MD MOROM ALI</t>
  </si>
  <si>
    <t>NUNU BEGUM</t>
  </si>
  <si>
    <t>2013-01-25</t>
  </si>
  <si>
    <t>SHEIKH SAYMAN AHMED</t>
  </si>
  <si>
    <t>SHEKH SHAHED MIAH</t>
  </si>
  <si>
    <t>AMIRUN NESA</t>
  </si>
  <si>
    <t>2010-08-13</t>
  </si>
  <si>
    <t xml:space="preserve">MST FAHIMA BEGUM </t>
  </si>
  <si>
    <t xml:space="preserve">MOFIZ ALI </t>
  </si>
  <si>
    <t xml:space="preserve">RUSNA BEGUM </t>
  </si>
  <si>
    <t>2012-09-25</t>
  </si>
  <si>
    <t>SAYED AHMED</t>
  </si>
  <si>
    <t>MONIR UDDIN</t>
  </si>
  <si>
    <t>SAJEDA BEGUM</t>
  </si>
  <si>
    <t>2012-03-01</t>
  </si>
  <si>
    <t>RASEL AHMED LIMON</t>
  </si>
  <si>
    <t>MD TOSIR ALI</t>
  </si>
  <si>
    <t>MST AYRUN NESSA</t>
  </si>
  <si>
    <t>2011-10-10</t>
  </si>
  <si>
    <t>MAJEDA BEGUM</t>
  </si>
  <si>
    <t>SANUWAR ALI</t>
  </si>
  <si>
    <t>SHAFIA BEGUM</t>
  </si>
  <si>
    <t>2011-04-10</t>
  </si>
  <si>
    <t xml:space="preserve">JHARNA BEGUM </t>
  </si>
  <si>
    <t xml:space="preserve">MD SADEK ALI </t>
  </si>
  <si>
    <t xml:space="preserve">MUNNA BEGUM </t>
  </si>
  <si>
    <t>2011-11-24</t>
  </si>
  <si>
    <t xml:space="preserve"> THANAGAON </t>
  </si>
  <si>
    <t>SOHANA AKTHER REJI</t>
  </si>
  <si>
    <t>SIRAJ ALI</t>
  </si>
  <si>
    <t>ASIA BEGUM</t>
  </si>
  <si>
    <t>2013-01-04</t>
  </si>
  <si>
    <t>MD KOYAS AHMED</t>
  </si>
  <si>
    <t>ROWSHANA BEGUM</t>
  </si>
  <si>
    <t>2011-08-25</t>
  </si>
  <si>
    <t>MUDABBIR UDDIN SIKDER</t>
  </si>
  <si>
    <t>MD SIRAJ UDDIN SIKDER REJU</t>
  </si>
  <si>
    <t>2010-06-07</t>
  </si>
  <si>
    <t xml:space="preserve">MST ARIFA JANNATH ANISHA </t>
  </si>
  <si>
    <t xml:space="preserve">MD TAJ UDDIN RUHEL </t>
  </si>
  <si>
    <t xml:space="preserve">KAZI HALIMA BEGUM </t>
  </si>
  <si>
    <t>2013-08-03</t>
  </si>
  <si>
    <t>SHAH AMINA AKTHER PINKI</t>
  </si>
  <si>
    <t>SHAH BABUL MIAH</t>
  </si>
  <si>
    <t>RANA AKTAR</t>
  </si>
  <si>
    <t>2012-05-10</t>
  </si>
  <si>
    <t>OLIUR RAHMAN EMON</t>
  </si>
  <si>
    <t>MD ABDUL KADIR</t>
  </si>
  <si>
    <t>RABA BEGUM</t>
  </si>
  <si>
    <t>2011-08-03</t>
  </si>
  <si>
    <t>MAHIRA JANNAT SADIYA</t>
  </si>
  <si>
    <t>MD RIPON MIAH</t>
  </si>
  <si>
    <t>MST SUMA BEGUM</t>
  </si>
  <si>
    <t>2010-08-22</t>
  </si>
  <si>
    <t xml:space="preserve">FATEMA JAMAN FAIZA </t>
  </si>
  <si>
    <t xml:space="preserve">SHERWANUZZAM </t>
  </si>
  <si>
    <t xml:space="preserve">SHILPI BEGUM </t>
  </si>
  <si>
    <t>2013-03-08</t>
  </si>
  <si>
    <t>MD SAMSUL ISLAM SAMIR</t>
  </si>
  <si>
    <t>SADIA BEGUM</t>
  </si>
  <si>
    <t>MST KHELA BEGUM</t>
  </si>
  <si>
    <t>2008-08-18</t>
  </si>
  <si>
    <t xml:space="preserve">HABIBA  BEGUM </t>
  </si>
  <si>
    <t xml:space="preserve">ARJU MIAH </t>
  </si>
  <si>
    <t xml:space="preserve">HAZERA BEGUM </t>
  </si>
  <si>
    <t>2011-07-12</t>
  </si>
  <si>
    <t>NAZMUL ISLAM NAZIM</t>
  </si>
  <si>
    <t>MD. SHAHID ALI</t>
  </si>
  <si>
    <t>SHIBLY BEGUM</t>
  </si>
  <si>
    <t>2012-09-10</t>
  </si>
  <si>
    <t>MST SAMIYA BEGUM</t>
  </si>
  <si>
    <t>MD ABDUL MOTIN</t>
  </si>
  <si>
    <t>2011-10-23</t>
  </si>
  <si>
    <t xml:space="preserve">MST SAMSIYA EYASMIN SAMIYA </t>
  </si>
  <si>
    <t xml:space="preserve">YATIR ALI </t>
  </si>
  <si>
    <t xml:space="preserve">HAJERA BEGUM </t>
  </si>
  <si>
    <t>2012-02-18</t>
  </si>
  <si>
    <t xml:space="preserve"> RUHAN AHMED MUNNA</t>
  </si>
  <si>
    <t>LIAKOT ALI</t>
  </si>
  <si>
    <t>JOSNA BEGUM</t>
  </si>
  <si>
    <t>2009-10-06</t>
  </si>
  <si>
    <t>ARAFAT AHMED NAIM</t>
  </si>
  <si>
    <t>MST RABIA BEGUM</t>
  </si>
  <si>
    <t>2012-08-19</t>
  </si>
  <si>
    <t>TAHIYA AKTAR SADIYA</t>
  </si>
  <si>
    <t>MD ABDUL ALIM</t>
  </si>
  <si>
    <t>SAHENA BEGUM</t>
  </si>
  <si>
    <t>2010-10-10</t>
  </si>
  <si>
    <t>THANAGAON MOSJIDPARA</t>
  </si>
  <si>
    <t xml:space="preserve">MST FAIZA BEGUM </t>
  </si>
  <si>
    <t xml:space="preserve">MD SAYAD BOKSH </t>
  </si>
  <si>
    <t xml:space="preserve">MST. LABLI BEGUM </t>
  </si>
  <si>
    <t>2013-12-05</t>
  </si>
  <si>
    <t>AIYAN MUZAHID</t>
  </si>
  <si>
    <t>MD KAWSAR MIAH</t>
  </si>
  <si>
    <t>MST MALEKA BEGUM</t>
  </si>
  <si>
    <t>2011-03-27</t>
  </si>
  <si>
    <t>MD BAHAR MIAH</t>
  </si>
  <si>
    <t>2009-11-20</t>
  </si>
  <si>
    <t>TAMANNA BEGUM</t>
  </si>
  <si>
    <t>MD SADEK ALI</t>
  </si>
  <si>
    <t>MUNNA BEGUM</t>
  </si>
  <si>
    <t>2009-12-06</t>
  </si>
  <si>
    <t xml:space="preserve">TASNIYA ISRAT MUNNI </t>
  </si>
  <si>
    <t xml:space="preserve">MD ABDUL ALIM </t>
  </si>
  <si>
    <t xml:space="preserve">SAHENA BEGUM </t>
  </si>
  <si>
    <t>2014-07-14</t>
  </si>
  <si>
    <t xml:space="preserve">FAHIM AHMED EMON </t>
  </si>
  <si>
    <t xml:space="preserve">MST SABILA BEGUM </t>
  </si>
  <si>
    <t>2012-07-16</t>
  </si>
  <si>
    <t>MD TAHMID MIAH</t>
  </si>
  <si>
    <t xml:space="preserve">  MD KAYES AHMED  Session :  MST NAZMA BEGUM</t>
  </si>
  <si>
    <t>2009-01-27</t>
  </si>
  <si>
    <t xml:space="preserve">RADHAKUNA GUSGAON </t>
  </si>
  <si>
    <t>MST AKLIMA BEGUM SONY</t>
  </si>
  <si>
    <t>2008-02-06</t>
  </si>
  <si>
    <t xml:space="preserve">IBRAHIM ALI </t>
  </si>
  <si>
    <t>RAHENA BEGUM</t>
  </si>
  <si>
    <t>2010-01-06</t>
  </si>
  <si>
    <t xml:space="preserve">MAHA AFRIN TURA </t>
  </si>
  <si>
    <t xml:space="preserve">MONOWAR MIAH </t>
  </si>
  <si>
    <t xml:space="preserve">SHEFALI BEGUM </t>
  </si>
  <si>
    <t>2012-06-10</t>
  </si>
  <si>
    <t>FARJANA BEGUM</t>
  </si>
  <si>
    <t>MD ALA UDDIN</t>
  </si>
  <si>
    <t>2011-10-07</t>
  </si>
  <si>
    <t>MST JUHRA EMAMA TAIFA</t>
  </si>
  <si>
    <t>MD ASHIK MIAH</t>
  </si>
  <si>
    <t>JESMIN BEGUM</t>
  </si>
  <si>
    <t>2010-03-26</t>
  </si>
  <si>
    <t xml:space="preserve">FAHMID MIAH </t>
  </si>
  <si>
    <t xml:space="preserve">SHAHIN MIAH </t>
  </si>
  <si>
    <t xml:space="preserve">LUCKY BEGUM </t>
  </si>
  <si>
    <t>2013-04-05</t>
  </si>
  <si>
    <t xml:space="preserve">NUSRAT ISLAM </t>
  </si>
  <si>
    <t xml:space="preserve">NAZRUL ISLAM </t>
  </si>
  <si>
    <t xml:space="preserve">LIPI BEGUM </t>
  </si>
  <si>
    <t>2012-11-25</t>
  </si>
  <si>
    <t>MAHIMA BEGUM</t>
  </si>
  <si>
    <t>MD FARUK MIAH</t>
  </si>
  <si>
    <t>2009-01-26</t>
  </si>
  <si>
    <t>SADIA JANNAT</t>
  </si>
  <si>
    <t>AFTAB ALI</t>
  </si>
  <si>
    <t>PARUL BEGUM</t>
  </si>
  <si>
    <t>2010-10-28</t>
  </si>
  <si>
    <t xml:space="preserve">TAIBA BEGUM </t>
  </si>
  <si>
    <t xml:space="preserve">MD MOTAHIR ALI TALUKDAR </t>
  </si>
  <si>
    <t xml:space="preserve">RUKSANA AKTER LAKY </t>
  </si>
  <si>
    <t>2013-09-01</t>
  </si>
  <si>
    <t xml:space="preserve">YASIN AHMED SAMI </t>
  </si>
  <si>
    <t xml:space="preserve">MD FARHAD MIAH </t>
  </si>
  <si>
    <t xml:space="preserve">HUSNA BEGUM </t>
  </si>
  <si>
    <t>0013-12-30</t>
  </si>
  <si>
    <t>MST RUMI BEGUM</t>
  </si>
  <si>
    <t>LECHU MIAH</t>
  </si>
  <si>
    <t xml:space="preserve">MST HUSNA BEGUM </t>
  </si>
  <si>
    <t>2009-05-20</t>
  </si>
  <si>
    <t xml:space="preserve">SANJIDA AKTER </t>
  </si>
  <si>
    <t xml:space="preserve">MD BABUL </t>
  </si>
  <si>
    <t>2014-12-26</t>
  </si>
  <si>
    <t xml:space="preserve">HUMAYRA BEGUM </t>
  </si>
  <si>
    <t xml:space="preserve">MD HABIBUR RAHMAN </t>
  </si>
  <si>
    <t xml:space="preserve">MST SAHERA BEGUM </t>
  </si>
  <si>
    <t>2013-10-22</t>
  </si>
  <si>
    <t>MD NAHID ALI</t>
  </si>
  <si>
    <t>MD SHOFIQUL MIAH</t>
  </si>
  <si>
    <t>MST SHILPI BEGUM</t>
  </si>
  <si>
    <t>2009-03-28</t>
  </si>
  <si>
    <t xml:space="preserve">NIROB MALAKAR </t>
  </si>
  <si>
    <t xml:space="preserve">SHOSHANGKO MALAKAR </t>
  </si>
  <si>
    <t xml:space="preserve">SHIWLY DAS </t>
  </si>
  <si>
    <t>2011-05-04</t>
  </si>
  <si>
    <t xml:space="preserve">ATIKUR RAHMAN ROKY </t>
  </si>
  <si>
    <t xml:space="preserve">MD ARJU MIAH </t>
  </si>
  <si>
    <t xml:space="preserve">MST SALINA BEGUM </t>
  </si>
  <si>
    <t>SHIMOLI BEGUM</t>
  </si>
  <si>
    <t>ABDUL JALIL</t>
  </si>
  <si>
    <t>HUSIARA BEGUM</t>
  </si>
  <si>
    <t>2008-01-07</t>
  </si>
  <si>
    <t xml:space="preserve">ARNOB SUTRADHAR </t>
  </si>
  <si>
    <t xml:space="preserve">RATINDRA KUMAR SUTRDHAR </t>
  </si>
  <si>
    <t xml:space="preserve">NONDITA RANI DHOR </t>
  </si>
  <si>
    <t>2013-06-09</t>
  </si>
  <si>
    <t xml:space="preserve">FATEMA JANNAT TAHMINA </t>
  </si>
  <si>
    <t xml:space="preserve">RIPON AHMED </t>
  </si>
  <si>
    <t xml:space="preserve">MST REHA BEGUM </t>
  </si>
  <si>
    <t>2011-11-02</t>
  </si>
  <si>
    <t>MD IMAD ALI</t>
  </si>
  <si>
    <t>MD KASA MIAH</t>
  </si>
  <si>
    <t>MST FERANU BEGUM</t>
  </si>
  <si>
    <t>2011-03-13</t>
  </si>
  <si>
    <t xml:space="preserve">ALI AHSAN MUJAHID </t>
  </si>
  <si>
    <t xml:space="preserve">MD. ABDUR ROB </t>
  </si>
  <si>
    <t xml:space="preserve">MST SHAFIA BEGUM </t>
  </si>
  <si>
    <t>2013-01-22</t>
  </si>
  <si>
    <t xml:space="preserve">MD RABBI SALEH </t>
  </si>
  <si>
    <t xml:space="preserve">MD KAMRUZZAMAN </t>
  </si>
  <si>
    <t xml:space="preserve">BEUTI EYSAMIN </t>
  </si>
  <si>
    <t>2013-01-01</t>
  </si>
  <si>
    <t>FAHIM MIAH</t>
  </si>
  <si>
    <t>2011-05-03</t>
  </si>
  <si>
    <t xml:space="preserve">MUNNI BEGUM FAHIZA </t>
  </si>
  <si>
    <t xml:space="preserve">LEBU MIAH </t>
  </si>
  <si>
    <t>2013-08-01</t>
  </si>
  <si>
    <t>MD NABIL ISLAM</t>
  </si>
  <si>
    <t>MUHAMMAD SOMSOL ISLAM</t>
  </si>
  <si>
    <t>MOMTAJ BEGUM</t>
  </si>
  <si>
    <t>2010-07-17</t>
  </si>
  <si>
    <t xml:space="preserve">JISAN AHMED FAHIM </t>
  </si>
  <si>
    <t>SHANTONA RANI DAS</t>
  </si>
  <si>
    <t>MANAIRANGON DAS</t>
  </si>
  <si>
    <t>JUNU RANI DAS</t>
  </si>
  <si>
    <t>2008-06-27</t>
  </si>
  <si>
    <t>UMAMA AKTHER</t>
  </si>
  <si>
    <t xml:space="preserve">MD ABDUL GAFHUR </t>
  </si>
  <si>
    <t xml:space="preserve">MST RABEYA BEGUM </t>
  </si>
  <si>
    <t>2009-09-09</t>
  </si>
  <si>
    <t>RAHI AHMED</t>
  </si>
  <si>
    <t>SHABUL MIAH</t>
  </si>
  <si>
    <t>2011-10-19</t>
  </si>
  <si>
    <t xml:space="preserve">NAJMA BEGUM </t>
  </si>
  <si>
    <t xml:space="preserve">OWAB ULLA </t>
  </si>
  <si>
    <t xml:space="preserve">MST RAHENA BEGUM </t>
  </si>
  <si>
    <t>2010-11-16</t>
  </si>
  <si>
    <t>RAHIM MIAH</t>
  </si>
  <si>
    <t>MD SOHEL MIAH</t>
  </si>
  <si>
    <t>ROJINA BEGUM</t>
  </si>
  <si>
    <t>2009-03-16</t>
  </si>
  <si>
    <t xml:space="preserve">MD SAIFUL ISLAM SAME </t>
  </si>
  <si>
    <t xml:space="preserve">MD SIRAJUL ISLAM </t>
  </si>
  <si>
    <t xml:space="preserve">MST SULTANA BEGUM </t>
  </si>
  <si>
    <t>2014-06-01</t>
  </si>
  <si>
    <t>RIFAD AMHED</t>
  </si>
  <si>
    <t>SURUK MIAH</t>
  </si>
  <si>
    <t>TASLIMA BEGUM</t>
  </si>
  <si>
    <t>2010-01-09</t>
  </si>
  <si>
    <t xml:space="preserve">ABIDA AKTER </t>
  </si>
  <si>
    <t xml:space="preserve">MUSTAK AHMED </t>
  </si>
  <si>
    <t xml:space="preserve">ROHIMA BEGUM </t>
  </si>
  <si>
    <t>2013-11-07</t>
  </si>
  <si>
    <t>BURHAN AHEMD MAHDI</t>
  </si>
  <si>
    <t>MD KUDDUS MIAH</t>
  </si>
  <si>
    <t>MST SURBIN BEGUM</t>
  </si>
  <si>
    <t>2012-03-30</t>
  </si>
  <si>
    <t>SAMAD AHMED</t>
  </si>
  <si>
    <t>MST KHURSHEDA BEGUM</t>
  </si>
  <si>
    <t>2011-09-26</t>
  </si>
  <si>
    <t>SUNIYA BEGUM</t>
  </si>
  <si>
    <t>MD ABDUL AHAD</t>
  </si>
  <si>
    <t>MST SOJNA BEGUM</t>
  </si>
  <si>
    <t>2010-03-25</t>
  </si>
  <si>
    <t>SUROVI AKTAR MIM</t>
  </si>
  <si>
    <t>MD ASAD MIAH</t>
  </si>
  <si>
    <t>MST RAHIMA BEGUM</t>
  </si>
  <si>
    <t>2010-12-16</t>
  </si>
  <si>
    <t>TAHIRPUR</t>
  </si>
  <si>
    <t>SHAH BABLY AKTHER</t>
  </si>
  <si>
    <t>2008-02-03</t>
  </si>
  <si>
    <t>SHUHAN AHMED</t>
  </si>
  <si>
    <t>2009-11-28</t>
  </si>
  <si>
    <t xml:space="preserve">FAHIMA AKTER ZIKRA </t>
  </si>
  <si>
    <t xml:space="preserve">MD SITAR ALI </t>
  </si>
  <si>
    <t xml:space="preserve">NAIMA JANNAT TAHA </t>
  </si>
  <si>
    <t xml:space="preserve">NAFUR MIAH </t>
  </si>
  <si>
    <t xml:space="preserve">MST NAJU BEGUM </t>
  </si>
  <si>
    <t>2013-04-23</t>
  </si>
  <si>
    <t xml:space="preserve">TANIA  BEGUM TANNI </t>
  </si>
  <si>
    <t xml:space="preserve">LABU MIAH </t>
  </si>
  <si>
    <t>2010-10-16</t>
  </si>
  <si>
    <t xml:space="preserve">MOHAMMED ARIF KHAN </t>
  </si>
  <si>
    <t xml:space="preserve">ASKIR KHAN </t>
  </si>
  <si>
    <t>2011-05-25</t>
  </si>
  <si>
    <t xml:space="preserve">MOIROM AKTHER ANISA </t>
  </si>
  <si>
    <t xml:space="preserve">MD ASHIKUR RAHMAN </t>
  </si>
  <si>
    <t xml:space="preserve">SHAMMI AKTER CHOWDHURY </t>
  </si>
  <si>
    <t>2011-03-10</t>
  </si>
  <si>
    <t xml:space="preserve">RIHAD MIAH </t>
  </si>
  <si>
    <t xml:space="preserve">ABDUL MOTIN </t>
  </si>
  <si>
    <t>EMON HUSSEN</t>
  </si>
  <si>
    <t>MD LOYLU MIAH</t>
  </si>
  <si>
    <t>B</t>
  </si>
  <si>
    <t>2010-07-28</t>
  </si>
  <si>
    <t>RAZZAK HUSEN</t>
  </si>
  <si>
    <t>MD MOJNU MIAH</t>
  </si>
  <si>
    <t>MST PARUL BEGUM</t>
  </si>
  <si>
    <t>2010-07-07</t>
  </si>
  <si>
    <t>ROBIN AHMED SAIM</t>
  </si>
  <si>
    <t>LOKHON MIAH</t>
  </si>
  <si>
    <t>MD ALKHAS ALI</t>
  </si>
  <si>
    <t>2010-09-20</t>
  </si>
  <si>
    <t>MD RAHMAN HUSEN</t>
  </si>
  <si>
    <t>MD SULEMAN MIAH</t>
  </si>
  <si>
    <t>JASMIN BEGUM</t>
  </si>
  <si>
    <t>TAMIM AHMED SOJID</t>
  </si>
  <si>
    <t>MD KUTUB ALI</t>
  </si>
  <si>
    <t>2010-05-22</t>
  </si>
  <si>
    <t>MUHAIMIN CHOWDHURY MAHDI</t>
  </si>
  <si>
    <t>MAMUN CHOWDHURY</t>
  </si>
  <si>
    <t>SALMA BEGUM</t>
  </si>
  <si>
    <t>2010-11-29</t>
  </si>
  <si>
    <t>MD MAHBUBUL HASAN TAMIM</t>
  </si>
  <si>
    <t>MD KHALED MIAH</t>
  </si>
  <si>
    <t>MST RASEDA BEGUM</t>
  </si>
  <si>
    <t>2011-02-19</t>
  </si>
  <si>
    <t>HRIDOY HASAN TAMIM</t>
  </si>
  <si>
    <t>JAYNAL</t>
  </si>
  <si>
    <t>RIMA BEGUM</t>
  </si>
  <si>
    <t>2011-06-09</t>
  </si>
  <si>
    <t>TAJPUR</t>
  </si>
  <si>
    <t>SHAH SAMIYA AKTER</t>
  </si>
  <si>
    <t>SHAH MASKOD ALI</t>
  </si>
  <si>
    <t>SABINA YASMIN</t>
  </si>
  <si>
    <t>2009-04-27</t>
  </si>
  <si>
    <t>SUNATHITA</t>
  </si>
  <si>
    <t>MD NIHAD ALI</t>
  </si>
  <si>
    <t>MD TOSLIM ALI</t>
  </si>
  <si>
    <t>LAILA BEGUM</t>
  </si>
  <si>
    <t>2010-01-01</t>
  </si>
  <si>
    <t>TAYYIBA  NUSRAT  TARIN</t>
  </si>
  <si>
    <t>SAMIYA BEGUM</t>
  </si>
  <si>
    <t>ALEKHA BIBI</t>
  </si>
  <si>
    <t>2008-07-23</t>
  </si>
  <si>
    <t>SAKIB AHMED</t>
  </si>
  <si>
    <t>ABDUL SALIK</t>
  </si>
  <si>
    <t>KHALEDA BEGUM</t>
  </si>
  <si>
    <t>2011-02-04</t>
  </si>
  <si>
    <t>KAWSAR AHMED MUHABIYA</t>
  </si>
  <si>
    <t>MD MASUM AHMED</t>
  </si>
  <si>
    <t>FARHANA AHMED</t>
  </si>
  <si>
    <t>2010-07-08</t>
  </si>
  <si>
    <t>MUDASSIR UDDIN SIKDER</t>
  </si>
  <si>
    <t>FARHAN CHOWDHURY</t>
  </si>
  <si>
    <t>MD MIZANUR RAHMAN CHOWDHURY</t>
  </si>
  <si>
    <t>MST FAHIMA BEFGUM  CHOWDHURY</t>
  </si>
  <si>
    <t>2009-04-09</t>
  </si>
  <si>
    <t>NADIRA AKTHER RITA</t>
  </si>
  <si>
    <t>MOHI UDDIN JIHAD</t>
  </si>
  <si>
    <t>MD ABUL KALAM</t>
  </si>
  <si>
    <t>2009-07-07</t>
  </si>
  <si>
    <t>SAMIRA AKTHER LIMA</t>
  </si>
  <si>
    <t>MD LITON AHMOD</t>
  </si>
  <si>
    <t>MST HALIMA BEGUM</t>
  </si>
  <si>
    <t>2010-09-12</t>
  </si>
  <si>
    <t>ATGAON</t>
  </si>
  <si>
    <t>MST TAHMIDA JANNAT TAMMI</t>
  </si>
  <si>
    <t>SANUR MIAH</t>
  </si>
  <si>
    <t>SHILFI BEGUM</t>
  </si>
  <si>
    <t>2009-08-28</t>
  </si>
  <si>
    <t>SADIYA BEGUM</t>
  </si>
  <si>
    <t>MD LEBU MIAH</t>
  </si>
  <si>
    <t>MST SELINA BEGUM</t>
  </si>
  <si>
    <t>2008-09-09</t>
  </si>
  <si>
    <t>MST FATEMA AKTHER MAHIMA</t>
  </si>
  <si>
    <t>MD. NIMBOR ALI</t>
  </si>
  <si>
    <t>HENA BEGUM</t>
  </si>
  <si>
    <t>2010-10-19</t>
  </si>
  <si>
    <t>SHEIKH TAIBA JANNAT</t>
  </si>
  <si>
    <t>MD NEPUR MIAH</t>
  </si>
  <si>
    <t>2009-08-17</t>
  </si>
  <si>
    <t>RAHIMA AKTER EMA</t>
  </si>
  <si>
    <t>MD BABUL MIAH</t>
  </si>
  <si>
    <t>2009-11-15</t>
  </si>
  <si>
    <t>MD TAHINUL ISLAM RAHI</t>
  </si>
  <si>
    <t>SAD MIAH</t>
  </si>
  <si>
    <t>MST SHAHERA AKTAR</t>
  </si>
  <si>
    <t>2009-01-30</t>
  </si>
  <si>
    <t>MST HUMAIRA BEGUM TANIA</t>
  </si>
  <si>
    <t>2010-08-21</t>
  </si>
  <si>
    <t>SANJEDA AKTER EMU</t>
  </si>
  <si>
    <t>MD MOZAMMIL ALI</t>
  </si>
  <si>
    <t>SHAPNA BEGUM</t>
  </si>
  <si>
    <t>2009-01-03</t>
  </si>
  <si>
    <t>MD KAWSAR AHMED</t>
  </si>
  <si>
    <t>MD SAFIK MIAH</t>
  </si>
  <si>
    <t>MST SOMA AKTER</t>
  </si>
  <si>
    <t>2009-02-02</t>
  </si>
  <si>
    <t>BISSWONATH</t>
  </si>
  <si>
    <t>SUMAIYA AKTHER SADIYA</t>
  </si>
  <si>
    <t>AUNGUR MIAH</t>
  </si>
  <si>
    <t>2009-11-01</t>
  </si>
  <si>
    <t>MD SAJU MIAH</t>
  </si>
  <si>
    <t>ABDAL MIAH</t>
  </si>
  <si>
    <t>MST HUSHIARA BEGUM</t>
  </si>
  <si>
    <t>2008-05-14</t>
  </si>
  <si>
    <t>MD AMDADUL ISLAM SAYEM</t>
  </si>
  <si>
    <t>MD MAJLU MIAH</t>
  </si>
  <si>
    <t>SUMENA AKTAR SUMI</t>
  </si>
  <si>
    <t>2010-08-16</t>
  </si>
  <si>
    <t>RUHINA YASMIN RINI</t>
  </si>
  <si>
    <t>MOHAMMOD PIAR ALI</t>
  </si>
  <si>
    <t>2010-04-29</t>
  </si>
  <si>
    <t>RUMANA BEGUM</t>
  </si>
  <si>
    <t>2009-01-01</t>
  </si>
  <si>
    <t>TAMVIR AHMED</t>
  </si>
  <si>
    <t>RUBI BEGUM</t>
  </si>
  <si>
    <t>2010-12-29</t>
  </si>
  <si>
    <t>AMAD AHMED</t>
  </si>
  <si>
    <t>MD.ABDUL MALIK</t>
  </si>
  <si>
    <t>DELARA BEGUM</t>
  </si>
  <si>
    <t>2010-01-31</t>
  </si>
  <si>
    <t>MST NADIYA BEGUM</t>
  </si>
  <si>
    <t>MD AYAB ALI</t>
  </si>
  <si>
    <t>2008-07-15</t>
  </si>
  <si>
    <t>SAYMA BEGUM</t>
  </si>
  <si>
    <t>SHAHED ALI</t>
  </si>
  <si>
    <t>MST REHANA BEGUM</t>
  </si>
  <si>
    <t>2009-07-08</t>
  </si>
  <si>
    <t>SERWAN AHMED</t>
  </si>
  <si>
    <t>MANIK MIAH</t>
  </si>
  <si>
    <t>2008-10-24</t>
  </si>
  <si>
    <t>MUNSUR ALI</t>
  </si>
  <si>
    <t>MD MORTUJA ALI</t>
  </si>
  <si>
    <t>MST SUNARA BEGUM</t>
  </si>
  <si>
    <t>2010-01-20</t>
  </si>
  <si>
    <t>LILIMA BEGUM</t>
  </si>
  <si>
    <t>MD ISLAM MIAH</t>
  </si>
  <si>
    <t>MST RAHENA BEGUM</t>
  </si>
  <si>
    <t>2008-11-11</t>
  </si>
  <si>
    <t>JAIDUL ISLAM NAHID</t>
  </si>
  <si>
    <t>2009-04-08</t>
  </si>
  <si>
    <t>MOTIN MIAH</t>
  </si>
  <si>
    <t>MINA BEGUM</t>
  </si>
  <si>
    <t>2009-01-15</t>
  </si>
  <si>
    <t>MST AYSHA BEGUM</t>
  </si>
  <si>
    <t>2009-09-12</t>
  </si>
  <si>
    <t>KAZI THALHA  AHMED</t>
  </si>
  <si>
    <t>KAZI TUHEL AHMED</t>
  </si>
  <si>
    <t>MST NIPA BEGUM</t>
  </si>
  <si>
    <t>2010-05-28</t>
  </si>
  <si>
    <t>SAMIYA AKTAR</t>
  </si>
  <si>
    <t>MD NUR MIAH</t>
  </si>
  <si>
    <t>NAJMIN BEGUM</t>
  </si>
  <si>
    <t>2010-08-29</t>
  </si>
  <si>
    <t>MST TAMIMA JANNAT TAHIYA</t>
  </si>
  <si>
    <t>MD SURUZ ALI</t>
  </si>
  <si>
    <t>MST FATEMA KHANOM</t>
  </si>
  <si>
    <t>2008-03-01</t>
  </si>
  <si>
    <t>MD. SALMAN</t>
  </si>
  <si>
    <t>ABDUL WAHID</t>
  </si>
  <si>
    <t>2010-02-08</t>
  </si>
  <si>
    <t>MST SANJIDA AKTHER</t>
  </si>
  <si>
    <t>2008-11-27</t>
  </si>
  <si>
    <t>Mst . Rahima Akter Sadiya</t>
  </si>
  <si>
    <t>-</t>
  </si>
  <si>
    <t>EMA BEGUM</t>
  </si>
  <si>
    <t>ABDUL KARIM</t>
  </si>
  <si>
    <t>SUFIA BEGUM</t>
  </si>
  <si>
    <t>2009-01-11</t>
  </si>
  <si>
    <t>MD RABBI AHMED</t>
  </si>
  <si>
    <t>MD RUHEL MIA</t>
  </si>
  <si>
    <t>MST RUFIA  BEGUM</t>
  </si>
  <si>
    <t>2009-03-02</t>
  </si>
  <si>
    <t>MD LAEIN MIAH</t>
  </si>
  <si>
    <t>MD KOYAS MIAH</t>
  </si>
  <si>
    <t>MST SUBERA BEGUM</t>
  </si>
  <si>
    <t>2009-09-18</t>
  </si>
  <si>
    <t>MD SHAHED AHMED</t>
  </si>
  <si>
    <t>NOYEEMULLAH</t>
  </si>
  <si>
    <t>2008-06-04</t>
  </si>
  <si>
    <t>MD MAHID AHMED</t>
  </si>
  <si>
    <t>MST SADIMA BEGUM</t>
  </si>
  <si>
    <t>2009-09-27</t>
  </si>
  <si>
    <t>RAHID MIAH</t>
  </si>
  <si>
    <t>SOYL MIAH</t>
  </si>
  <si>
    <t>SAIRA BEGUM</t>
  </si>
  <si>
    <t>2009-04-20</t>
  </si>
  <si>
    <t>AZHARUL ISLAM SUHAG</t>
  </si>
  <si>
    <t>MD SUHEDUR RAHMAN</t>
  </si>
  <si>
    <t>HALIMA AKTER BEAUTI</t>
  </si>
  <si>
    <t>2011-09-13</t>
  </si>
  <si>
    <t>FAHIMA JANNAT TAMANNA</t>
  </si>
  <si>
    <t>2008-10-06</t>
  </si>
  <si>
    <t>ABDULLAH HASAN SAKIB</t>
  </si>
  <si>
    <t>KOMRUS ALI</t>
  </si>
  <si>
    <t>TANIYA HASAN MILI</t>
  </si>
  <si>
    <t>2010-01-19</t>
  </si>
  <si>
    <t>FAHMIDA AKTHER ANIKA</t>
  </si>
  <si>
    <t>LUCKY BEGUM</t>
  </si>
  <si>
    <t>2009-06-13</t>
  </si>
  <si>
    <t>HUSAIN AHMED</t>
  </si>
  <si>
    <t>2009-02-01</t>
  </si>
  <si>
    <t>NUMAN AHMED</t>
  </si>
  <si>
    <t>MD KAMRUL ISLAM</t>
  </si>
  <si>
    <t>MD DILAOR ALI</t>
  </si>
  <si>
    <t>2008-02-24</t>
  </si>
  <si>
    <t>HASAN MAHMUD TAMIM</t>
  </si>
  <si>
    <t>MD MIAAR ALI</t>
  </si>
  <si>
    <t>GULSANA BEGUM</t>
  </si>
  <si>
    <t>2010-08-15</t>
  </si>
  <si>
    <t>MST BUSHRA KHANOM</t>
  </si>
  <si>
    <t>MD ALTAB KHAN</t>
  </si>
  <si>
    <t>PARVIN SULTANA</t>
  </si>
  <si>
    <t>2010-05-17</t>
  </si>
  <si>
    <t>SOHANUR RAHMAN SOHAG</t>
  </si>
  <si>
    <t>2009-05-26</t>
  </si>
  <si>
    <t>IFAT MIAH</t>
  </si>
  <si>
    <t>MOJAHID MIAH</t>
  </si>
  <si>
    <t>REBA BEGUM</t>
  </si>
  <si>
    <t>2009-04-12</t>
  </si>
  <si>
    <t>KHELA BEGUM</t>
  </si>
  <si>
    <t>JOMIR ALI</t>
  </si>
  <si>
    <t>2008-07-06</t>
  </si>
  <si>
    <t>SAHJAT AHMED SOJIB</t>
  </si>
  <si>
    <t>MD ANSAR ALI</t>
  </si>
  <si>
    <t>2007-08-16</t>
  </si>
  <si>
    <t>GUSGAON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</si>
</sst>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32.992" bestFit="true" customWidth="true" style="0"/>
    <col min="4" max="4" width="34.135" bestFit="true" customWidth="true" style="0"/>
    <col min="5" max="5" width="24.708" bestFit="true" customWidth="true" style="0"/>
    <col min="6" max="6" width="52.987" bestFit="true" customWidth="true" style="0"/>
    <col min="7" max="7" width="24.708" bestFit="true" customWidth="true" style="0"/>
    <col min="8" max="8" width="6.998" bestFit="true" customWidth="true" style="0"/>
    <col min="9" max="9" width="9.283" bestFit="true" customWidth="true" style="0"/>
    <col min="10" max="10" width="16.425" bestFit="true" customWidth="true" style="0"/>
    <col min="11" max="11" width="15.282" bestFit="true" customWidth="true" style="0"/>
    <col min="12" max="12" width="25.851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B2">
        <v>1</v>
      </c>
      <c r="C2" t="s">
        <v>12</v>
      </c>
      <c r="D2" t="s">
        <v>13</v>
      </c>
      <c r="F2" t="s">
        <v>14</v>
      </c>
      <c r="H2" t="s">
        <v>15</v>
      </c>
      <c r="I2" t="s">
        <v>16</v>
      </c>
      <c r="J2" t="s">
        <v>17</v>
      </c>
    </row>
    <row r="3" spans="1:12">
      <c r="B3">
        <v>1</v>
      </c>
      <c r="C3" t="s">
        <v>18</v>
      </c>
      <c r="D3" t="s">
        <v>19</v>
      </c>
      <c r="F3" t="s">
        <v>20</v>
      </c>
      <c r="H3" t="s">
        <v>21</v>
      </c>
      <c r="I3" t="s">
        <v>16</v>
      </c>
      <c r="J3" t="s">
        <v>22</v>
      </c>
      <c r="K3" t="str">
        <f>"01715860598"</f>
        <v>0</v>
      </c>
      <c r="L3" t="s">
        <v>23</v>
      </c>
    </row>
    <row r="4" spans="1:12">
      <c r="B4">
        <v>1</v>
      </c>
      <c r="C4" t="s">
        <v>24</v>
      </c>
      <c r="D4" t="s">
        <v>25</v>
      </c>
      <c r="F4" t="s">
        <v>26</v>
      </c>
      <c r="H4" t="s">
        <v>27</v>
      </c>
      <c r="I4" t="s">
        <v>16</v>
      </c>
      <c r="J4" t="s">
        <v>28</v>
      </c>
      <c r="K4" t="str">
        <f>"01770315911"</f>
        <v>0</v>
      </c>
      <c r="L4" t="s">
        <v>29</v>
      </c>
    </row>
    <row r="5" spans="1:12">
      <c r="B5">
        <v>1</v>
      </c>
      <c r="C5" t="s">
        <v>30</v>
      </c>
      <c r="D5" t="s">
        <v>31</v>
      </c>
      <c r="F5" t="s">
        <v>32</v>
      </c>
      <c r="H5" t="s">
        <v>15</v>
      </c>
      <c r="I5" t="s">
        <v>16</v>
      </c>
      <c r="J5" t="s">
        <v>33</v>
      </c>
    </row>
    <row r="6" spans="1:12">
      <c r="B6">
        <v>1</v>
      </c>
      <c r="C6" t="s">
        <v>34</v>
      </c>
      <c r="D6" t="s">
        <v>34</v>
      </c>
      <c r="F6" t="s">
        <v>35</v>
      </c>
      <c r="H6" t="s">
        <v>36</v>
      </c>
      <c r="I6" t="s">
        <v>16</v>
      </c>
      <c r="J6" t="s">
        <v>37</v>
      </c>
      <c r="K6" t="str">
        <f>"01725259468"</f>
        <v>0</v>
      </c>
      <c r="L6" t="s">
        <v>38</v>
      </c>
    </row>
    <row r="7" spans="1:12">
      <c r="B7">
        <v>1</v>
      </c>
      <c r="C7" t="s">
        <v>39</v>
      </c>
      <c r="D7" t="s">
        <v>40</v>
      </c>
      <c r="F7" t="s">
        <v>41</v>
      </c>
      <c r="H7" t="s">
        <v>42</v>
      </c>
      <c r="I7" t="s">
        <v>16</v>
      </c>
      <c r="J7" t="s">
        <v>43</v>
      </c>
      <c r="K7" t="str">
        <f>"01787483173"</f>
        <v>0</v>
      </c>
      <c r="L7" t="s">
        <v>44</v>
      </c>
    </row>
    <row r="8" spans="1:12">
      <c r="B8">
        <v>2</v>
      </c>
      <c r="C8" t="s">
        <v>45</v>
      </c>
      <c r="D8" t="s">
        <v>46</v>
      </c>
      <c r="F8" t="s">
        <v>47</v>
      </c>
      <c r="H8" t="s">
        <v>15</v>
      </c>
      <c r="I8" t="s">
        <v>16</v>
      </c>
      <c r="J8" t="s">
        <v>48</v>
      </c>
    </row>
    <row r="9" spans="1:12">
      <c r="B9">
        <v>2</v>
      </c>
      <c r="C9" t="s">
        <v>49</v>
      </c>
      <c r="D9" t="s">
        <v>50</v>
      </c>
      <c r="F9" t="s">
        <v>51</v>
      </c>
      <c r="H9" t="s">
        <v>21</v>
      </c>
      <c r="I9" t="s">
        <v>16</v>
      </c>
      <c r="J9" t="s">
        <v>52</v>
      </c>
      <c r="K9" t="str">
        <f>"01728576616"</f>
        <v>0</v>
      </c>
      <c r="L9" t="s">
        <v>53</v>
      </c>
    </row>
    <row r="10" spans="1:12">
      <c r="B10">
        <v>2</v>
      </c>
      <c r="C10" t="s">
        <v>54</v>
      </c>
      <c r="D10" t="s">
        <v>55</v>
      </c>
      <c r="F10" t="s">
        <v>56</v>
      </c>
      <c r="H10" t="s">
        <v>27</v>
      </c>
      <c r="I10" t="s">
        <v>16</v>
      </c>
      <c r="J10" t="s">
        <v>57</v>
      </c>
      <c r="K10" t="str">
        <f>"01774146536"</f>
        <v>0</v>
      </c>
      <c r="L10" t="s">
        <v>29</v>
      </c>
    </row>
    <row r="11" spans="1:12">
      <c r="B11">
        <v>2</v>
      </c>
      <c r="C11" t="s">
        <v>58</v>
      </c>
      <c r="D11" t="s">
        <v>59</v>
      </c>
      <c r="F11" t="s">
        <v>60</v>
      </c>
      <c r="H11" t="s">
        <v>36</v>
      </c>
      <c r="I11" t="s">
        <v>16</v>
      </c>
      <c r="J11" t="s">
        <v>61</v>
      </c>
      <c r="K11" t="str">
        <f>"01752371038"</f>
        <v>0</v>
      </c>
      <c r="L11" t="s">
        <v>29</v>
      </c>
    </row>
    <row r="12" spans="1:12">
      <c r="B12">
        <v>2</v>
      </c>
      <c r="C12" t="s">
        <v>62</v>
      </c>
      <c r="D12" t="s">
        <v>63</v>
      </c>
      <c r="F12" t="s">
        <v>64</v>
      </c>
      <c r="H12" t="s">
        <v>42</v>
      </c>
      <c r="I12" t="s">
        <v>16</v>
      </c>
      <c r="J12" t="s">
        <v>65</v>
      </c>
      <c r="K12" t="str">
        <f>"01706531471"</f>
        <v>0</v>
      </c>
      <c r="L12" t="s">
        <v>29</v>
      </c>
    </row>
    <row r="13" spans="1:12">
      <c r="B13">
        <v>3</v>
      </c>
      <c r="C13" t="s">
        <v>66</v>
      </c>
      <c r="D13" t="s">
        <v>67</v>
      </c>
      <c r="F13" t="s">
        <v>68</v>
      </c>
      <c r="H13" t="s">
        <v>15</v>
      </c>
      <c r="I13" t="s">
        <v>16</v>
      </c>
      <c r="J13" t="s">
        <v>69</v>
      </c>
    </row>
    <row r="14" spans="1:12">
      <c r="B14">
        <v>3</v>
      </c>
      <c r="C14" t="s">
        <v>70</v>
      </c>
      <c r="D14" t="s">
        <v>71</v>
      </c>
      <c r="F14" t="s">
        <v>72</v>
      </c>
      <c r="H14" t="s">
        <v>21</v>
      </c>
      <c r="I14" t="s">
        <v>16</v>
      </c>
      <c r="J14" t="s">
        <v>73</v>
      </c>
      <c r="K14" t="str">
        <f>"01796693486"</f>
        <v>0</v>
      </c>
      <c r="L14" t="s">
        <v>74</v>
      </c>
    </row>
    <row r="15" spans="1:12">
      <c r="B15">
        <v>3</v>
      </c>
      <c r="C15" t="s">
        <v>75</v>
      </c>
      <c r="D15" t="s">
        <v>76</v>
      </c>
      <c r="F15" t="s">
        <v>77</v>
      </c>
      <c r="H15" t="s">
        <v>27</v>
      </c>
      <c r="I15" t="s">
        <v>16</v>
      </c>
      <c r="J15" t="s">
        <v>78</v>
      </c>
      <c r="K15" t="str">
        <f>"01726017717"</f>
        <v>0</v>
      </c>
      <c r="L15" t="s">
        <v>29</v>
      </c>
    </row>
    <row r="16" spans="1:12">
      <c r="B16">
        <v>3</v>
      </c>
      <c r="C16" t="s">
        <v>79</v>
      </c>
      <c r="D16" t="s">
        <v>80</v>
      </c>
      <c r="F16" t="s">
        <v>81</v>
      </c>
      <c r="H16" t="s">
        <v>36</v>
      </c>
      <c r="I16" t="s">
        <v>16</v>
      </c>
      <c r="J16" t="s">
        <v>82</v>
      </c>
      <c r="K16" t="str">
        <f>"01408074037"</f>
        <v>0</v>
      </c>
      <c r="L16" t="s">
        <v>83</v>
      </c>
    </row>
    <row r="17" spans="1:12">
      <c r="B17">
        <v>3</v>
      </c>
      <c r="C17" t="s">
        <v>84</v>
      </c>
      <c r="D17" t="s">
        <v>85</v>
      </c>
      <c r="F17" t="s">
        <v>86</v>
      </c>
      <c r="H17" t="s">
        <v>42</v>
      </c>
      <c r="I17" t="s">
        <v>16</v>
      </c>
      <c r="J17" t="s">
        <v>87</v>
      </c>
      <c r="K17" t="str">
        <f>"01753287268"</f>
        <v>0</v>
      </c>
      <c r="L17" t="s">
        <v>88</v>
      </c>
    </row>
    <row r="18" spans="1:12">
      <c r="B18">
        <v>4</v>
      </c>
      <c r="C18" t="s">
        <v>89</v>
      </c>
      <c r="D18" t="s">
        <v>90</v>
      </c>
      <c r="F18" t="s">
        <v>91</v>
      </c>
      <c r="H18" t="s">
        <v>15</v>
      </c>
      <c r="I18" t="s">
        <v>16</v>
      </c>
      <c r="J18" t="s">
        <v>92</v>
      </c>
    </row>
    <row r="19" spans="1:12">
      <c r="B19">
        <v>4</v>
      </c>
      <c r="C19" t="s">
        <v>93</v>
      </c>
      <c r="D19" t="s">
        <v>94</v>
      </c>
      <c r="F19" t="s">
        <v>95</v>
      </c>
      <c r="H19" t="s">
        <v>21</v>
      </c>
      <c r="I19" t="s">
        <v>16</v>
      </c>
      <c r="J19" t="s">
        <v>96</v>
      </c>
      <c r="K19" t="str">
        <f>"01302628562"</f>
        <v>0</v>
      </c>
      <c r="L19" t="s">
        <v>97</v>
      </c>
    </row>
    <row r="20" spans="1:12">
      <c r="B20">
        <v>4</v>
      </c>
      <c r="C20" t="s">
        <v>98</v>
      </c>
      <c r="D20" t="s">
        <v>99</v>
      </c>
      <c r="F20" t="s">
        <v>100</v>
      </c>
      <c r="H20" t="s">
        <v>27</v>
      </c>
      <c r="I20" t="s">
        <v>16</v>
      </c>
      <c r="J20" t="s">
        <v>101</v>
      </c>
      <c r="K20" t="str">
        <f>"01758430479"</f>
        <v>0</v>
      </c>
      <c r="L20" t="s">
        <v>102</v>
      </c>
    </row>
    <row r="21" spans="1:12">
      <c r="B21">
        <v>4</v>
      </c>
      <c r="C21" t="s">
        <v>103</v>
      </c>
      <c r="D21" t="s">
        <v>104</v>
      </c>
      <c r="F21" t="s">
        <v>105</v>
      </c>
      <c r="H21" t="s">
        <v>36</v>
      </c>
      <c r="I21" t="s">
        <v>16</v>
      </c>
      <c r="J21" t="s">
        <v>106</v>
      </c>
      <c r="K21" t="str">
        <f>"01728958146"</f>
        <v>0</v>
      </c>
      <c r="L21" t="s">
        <v>29</v>
      </c>
    </row>
    <row r="22" spans="1:12">
      <c r="B22">
        <v>4</v>
      </c>
      <c r="C22" t="s">
        <v>107</v>
      </c>
      <c r="D22" t="s">
        <v>108</v>
      </c>
      <c r="F22" t="s">
        <v>109</v>
      </c>
      <c r="H22" t="s">
        <v>42</v>
      </c>
      <c r="I22" t="s">
        <v>16</v>
      </c>
      <c r="J22" t="s">
        <v>110</v>
      </c>
      <c r="K22" t="str">
        <f>"01812842691"</f>
        <v>0</v>
      </c>
      <c r="L22" t="s">
        <v>111</v>
      </c>
    </row>
    <row r="23" spans="1:12">
      <c r="B23">
        <v>5</v>
      </c>
      <c r="C23" t="s">
        <v>112</v>
      </c>
      <c r="D23" t="s">
        <v>113</v>
      </c>
      <c r="F23" t="s">
        <v>114</v>
      </c>
      <c r="H23" t="s">
        <v>15</v>
      </c>
      <c r="I23" t="s">
        <v>16</v>
      </c>
      <c r="J23" t="s">
        <v>115</v>
      </c>
    </row>
    <row r="24" spans="1:12">
      <c r="B24">
        <v>5</v>
      </c>
      <c r="C24" t="s">
        <v>116</v>
      </c>
      <c r="D24" t="s">
        <v>117</v>
      </c>
      <c r="F24" t="s">
        <v>118</v>
      </c>
      <c r="H24" t="s">
        <v>21</v>
      </c>
      <c r="I24" t="s">
        <v>16</v>
      </c>
      <c r="J24" t="s">
        <v>119</v>
      </c>
      <c r="K24" t="str">
        <f>"01712374399"</f>
        <v>0</v>
      </c>
      <c r="L24" t="s">
        <v>120</v>
      </c>
    </row>
    <row r="25" spans="1:12">
      <c r="B25">
        <v>5</v>
      </c>
      <c r="C25" t="s">
        <v>121</v>
      </c>
      <c r="D25" t="s">
        <v>122</v>
      </c>
      <c r="F25" t="s">
        <v>123</v>
      </c>
      <c r="H25" t="s">
        <v>27</v>
      </c>
      <c r="I25" t="s">
        <v>16</v>
      </c>
      <c r="J25" t="s">
        <v>124</v>
      </c>
      <c r="K25" t="str">
        <f>"01737610596"</f>
        <v>0</v>
      </c>
      <c r="L25" t="s">
        <v>29</v>
      </c>
    </row>
    <row r="26" spans="1:12">
      <c r="B26">
        <v>5</v>
      </c>
      <c r="C26" t="s">
        <v>125</v>
      </c>
      <c r="D26" t="s">
        <v>126</v>
      </c>
      <c r="F26" t="s">
        <v>127</v>
      </c>
      <c r="H26" t="s">
        <v>36</v>
      </c>
      <c r="I26" t="s">
        <v>16</v>
      </c>
      <c r="J26" t="s">
        <v>128</v>
      </c>
      <c r="K26" t="str">
        <f>"01799154109"</f>
        <v>0</v>
      </c>
      <c r="L26" t="s">
        <v>102</v>
      </c>
    </row>
    <row r="27" spans="1:12">
      <c r="B27">
        <v>5</v>
      </c>
      <c r="C27" t="s">
        <v>129</v>
      </c>
      <c r="D27" t="s">
        <v>130</v>
      </c>
      <c r="F27" t="s">
        <v>131</v>
      </c>
      <c r="H27" t="s">
        <v>42</v>
      </c>
      <c r="I27" t="s">
        <v>16</v>
      </c>
      <c r="J27" t="s">
        <v>132</v>
      </c>
      <c r="K27" t="str">
        <f>"01703402007"</f>
        <v>0</v>
      </c>
      <c r="L27" t="s">
        <v>88</v>
      </c>
    </row>
    <row r="28" spans="1:12">
      <c r="B28">
        <v>6</v>
      </c>
      <c r="C28" t="s">
        <v>133</v>
      </c>
      <c r="D28" t="s">
        <v>134</v>
      </c>
      <c r="F28" t="s">
        <v>135</v>
      </c>
      <c r="H28" t="s">
        <v>15</v>
      </c>
      <c r="I28" t="s">
        <v>16</v>
      </c>
      <c r="J28" t="s">
        <v>136</v>
      </c>
    </row>
    <row r="29" spans="1:12">
      <c r="B29">
        <v>6</v>
      </c>
      <c r="C29" t="s">
        <v>137</v>
      </c>
      <c r="D29" t="s">
        <v>138</v>
      </c>
      <c r="F29" t="s">
        <v>139</v>
      </c>
      <c r="H29" t="s">
        <v>21</v>
      </c>
      <c r="I29" t="s">
        <v>16</v>
      </c>
      <c r="J29" t="s">
        <v>140</v>
      </c>
      <c r="K29" t="str">
        <f>"01763691197"</f>
        <v>0</v>
      </c>
      <c r="L29" t="s">
        <v>53</v>
      </c>
    </row>
    <row r="30" spans="1:12">
      <c r="B30">
        <v>6</v>
      </c>
      <c r="C30" t="s">
        <v>141</v>
      </c>
      <c r="D30" t="s">
        <v>142</v>
      </c>
      <c r="F30" t="s">
        <v>143</v>
      </c>
      <c r="H30" t="s">
        <v>27</v>
      </c>
      <c r="I30" t="s">
        <v>16</v>
      </c>
      <c r="J30" t="s">
        <v>144</v>
      </c>
      <c r="K30" t="str">
        <f>"01733864081"</f>
        <v>0</v>
      </c>
      <c r="L30" t="s">
        <v>29</v>
      </c>
    </row>
    <row r="31" spans="1:12">
      <c r="B31">
        <v>6</v>
      </c>
      <c r="C31" t="s">
        <v>145</v>
      </c>
      <c r="D31" t="s">
        <v>146</v>
      </c>
      <c r="F31" t="s">
        <v>147</v>
      </c>
      <c r="H31" t="s">
        <v>36</v>
      </c>
      <c r="I31" t="s">
        <v>16</v>
      </c>
      <c r="J31" t="s">
        <v>148</v>
      </c>
      <c r="K31" t="str">
        <f>"01777927857"</f>
        <v>0</v>
      </c>
      <c r="L31" t="s">
        <v>149</v>
      </c>
    </row>
    <row r="32" spans="1:12">
      <c r="B32">
        <v>6</v>
      </c>
      <c r="C32" t="s">
        <v>150</v>
      </c>
      <c r="D32" t="s">
        <v>151</v>
      </c>
      <c r="F32" t="s">
        <v>152</v>
      </c>
      <c r="H32" t="s">
        <v>42</v>
      </c>
      <c r="I32" t="s">
        <v>16</v>
      </c>
      <c r="J32" t="s">
        <v>153</v>
      </c>
      <c r="K32" t="str">
        <f>"01732963972"</f>
        <v>0</v>
      </c>
      <c r="L32" t="s">
        <v>29</v>
      </c>
    </row>
    <row r="33" spans="1:12">
      <c r="B33">
        <v>7</v>
      </c>
      <c r="C33" t="s">
        <v>154</v>
      </c>
      <c r="D33" t="s">
        <v>155</v>
      </c>
      <c r="F33" t="s">
        <v>156</v>
      </c>
      <c r="H33" t="s">
        <v>15</v>
      </c>
      <c r="I33" t="s">
        <v>16</v>
      </c>
      <c r="J33" t="s">
        <v>157</v>
      </c>
    </row>
    <row r="34" spans="1:12">
      <c r="B34">
        <v>7</v>
      </c>
      <c r="C34" t="s">
        <v>158</v>
      </c>
      <c r="D34" t="s">
        <v>159</v>
      </c>
      <c r="F34" t="s">
        <v>160</v>
      </c>
      <c r="H34" t="s">
        <v>42</v>
      </c>
      <c r="I34" t="s">
        <v>16</v>
      </c>
      <c r="J34" t="s">
        <v>161</v>
      </c>
    </row>
    <row r="35" spans="1:12">
      <c r="B35">
        <v>7</v>
      </c>
      <c r="C35" t="s">
        <v>162</v>
      </c>
      <c r="D35" t="s">
        <v>163</v>
      </c>
      <c r="F35" t="s">
        <v>164</v>
      </c>
      <c r="H35" t="s">
        <v>27</v>
      </c>
      <c r="I35" t="s">
        <v>16</v>
      </c>
      <c r="J35" t="s">
        <v>165</v>
      </c>
      <c r="K35" t="str">
        <f>"01709180288"</f>
        <v>0</v>
      </c>
      <c r="L35" t="s">
        <v>29</v>
      </c>
    </row>
    <row r="36" spans="1:12">
      <c r="B36">
        <v>7</v>
      </c>
      <c r="C36" t="s">
        <v>166</v>
      </c>
      <c r="D36" t="s">
        <v>167</v>
      </c>
      <c r="F36" t="s">
        <v>168</v>
      </c>
      <c r="H36" t="s">
        <v>21</v>
      </c>
      <c r="I36" t="s">
        <v>16</v>
      </c>
      <c r="J36" t="s">
        <v>169</v>
      </c>
      <c r="K36" t="str">
        <f>"01744816387"</f>
        <v>0</v>
      </c>
      <c r="L36" t="s">
        <v>38</v>
      </c>
    </row>
    <row r="37" spans="1:12">
      <c r="B37">
        <v>7</v>
      </c>
      <c r="C37" t="s">
        <v>170</v>
      </c>
      <c r="D37" t="s">
        <v>171</v>
      </c>
      <c r="F37" t="s">
        <v>172</v>
      </c>
      <c r="H37" t="s">
        <v>36</v>
      </c>
      <c r="I37" t="s">
        <v>16</v>
      </c>
      <c r="J37" t="s">
        <v>173</v>
      </c>
      <c r="K37" t="str">
        <f>"01753111650"</f>
        <v>0</v>
      </c>
      <c r="L37" t="s">
        <v>149</v>
      </c>
    </row>
    <row r="38" spans="1:12">
      <c r="B38">
        <v>8</v>
      </c>
      <c r="C38" t="s">
        <v>174</v>
      </c>
      <c r="D38" t="s">
        <v>175</v>
      </c>
      <c r="F38" t="s">
        <v>176</v>
      </c>
      <c r="H38" t="s">
        <v>15</v>
      </c>
      <c r="I38" t="s">
        <v>16</v>
      </c>
      <c r="J38" t="s">
        <v>177</v>
      </c>
    </row>
    <row r="39" spans="1:12">
      <c r="B39">
        <v>8</v>
      </c>
      <c r="C39" t="s">
        <v>178</v>
      </c>
      <c r="D39" t="s">
        <v>179</v>
      </c>
      <c r="F39" t="s">
        <v>180</v>
      </c>
      <c r="H39" t="s">
        <v>21</v>
      </c>
      <c r="I39" t="s">
        <v>16</v>
      </c>
      <c r="J39" t="s">
        <v>181</v>
      </c>
      <c r="K39" t="str">
        <f>"01752755859"</f>
        <v>0</v>
      </c>
      <c r="L39" t="s">
        <v>182</v>
      </c>
    </row>
    <row r="40" spans="1:12">
      <c r="B40">
        <v>8</v>
      </c>
      <c r="C40" t="s">
        <v>183</v>
      </c>
      <c r="D40" t="s">
        <v>184</v>
      </c>
      <c r="F40" t="s">
        <v>185</v>
      </c>
      <c r="H40" t="s">
        <v>27</v>
      </c>
      <c r="I40" t="s">
        <v>16</v>
      </c>
      <c r="J40" t="s">
        <v>186</v>
      </c>
      <c r="K40" t="str">
        <f>"01741480485"</f>
        <v>0</v>
      </c>
      <c r="L40" t="s">
        <v>187</v>
      </c>
    </row>
    <row r="41" spans="1:12">
      <c r="B41">
        <v>8</v>
      </c>
      <c r="C41" t="s">
        <v>188</v>
      </c>
      <c r="D41" t="s">
        <v>189</v>
      </c>
      <c r="F41" t="s">
        <v>190</v>
      </c>
      <c r="H41" t="s">
        <v>36</v>
      </c>
      <c r="I41" t="s">
        <v>16</v>
      </c>
      <c r="J41" t="s">
        <v>191</v>
      </c>
      <c r="K41" t="str">
        <f>"01731672378"</f>
        <v>0</v>
      </c>
      <c r="L41" t="s">
        <v>38</v>
      </c>
    </row>
    <row r="42" spans="1:12">
      <c r="B42">
        <v>8</v>
      </c>
      <c r="C42" t="s">
        <v>192</v>
      </c>
      <c r="D42" t="s">
        <v>193</v>
      </c>
      <c r="F42" t="s">
        <v>194</v>
      </c>
      <c r="H42" t="s">
        <v>42</v>
      </c>
      <c r="I42" t="s">
        <v>16</v>
      </c>
      <c r="J42" t="s">
        <v>195</v>
      </c>
      <c r="K42" t="str">
        <f>"01728186231"</f>
        <v>0</v>
      </c>
      <c r="L42" t="s">
        <v>29</v>
      </c>
    </row>
    <row r="43" spans="1:12">
      <c r="B43">
        <v>9</v>
      </c>
      <c r="C43" t="s">
        <v>196</v>
      </c>
      <c r="D43" t="s">
        <v>197</v>
      </c>
      <c r="F43" t="s">
        <v>198</v>
      </c>
      <c r="H43" t="s">
        <v>15</v>
      </c>
      <c r="I43" t="s">
        <v>16</v>
      </c>
      <c r="J43" t="s">
        <v>199</v>
      </c>
    </row>
    <row r="44" spans="1:12">
      <c r="B44">
        <v>9</v>
      </c>
      <c r="C44" t="s">
        <v>200</v>
      </c>
      <c r="D44" t="s">
        <v>201</v>
      </c>
      <c r="F44" t="s">
        <v>202</v>
      </c>
      <c r="H44" t="s">
        <v>21</v>
      </c>
      <c r="I44" t="s">
        <v>16</v>
      </c>
      <c r="J44" t="s">
        <v>203</v>
      </c>
      <c r="K44" t="str">
        <f>"01717418755"</f>
        <v>0</v>
      </c>
      <c r="L44" t="s">
        <v>149</v>
      </c>
    </row>
    <row r="45" spans="1:12">
      <c r="B45">
        <v>9</v>
      </c>
      <c r="C45" t="s">
        <v>204</v>
      </c>
      <c r="D45" t="s">
        <v>205</v>
      </c>
      <c r="F45" t="s">
        <v>206</v>
      </c>
      <c r="H45" t="s">
        <v>27</v>
      </c>
      <c r="I45" t="s">
        <v>16</v>
      </c>
      <c r="J45" t="s">
        <v>207</v>
      </c>
      <c r="K45" t="str">
        <f>"01739896666"</f>
        <v>0</v>
      </c>
      <c r="L45" t="s">
        <v>38</v>
      </c>
    </row>
    <row r="46" spans="1:12">
      <c r="B46">
        <v>9</v>
      </c>
      <c r="C46" t="s">
        <v>200</v>
      </c>
      <c r="D46" t="s">
        <v>208</v>
      </c>
      <c r="F46" t="s">
        <v>209</v>
      </c>
      <c r="H46" t="s">
        <v>36</v>
      </c>
      <c r="I46" t="s">
        <v>16</v>
      </c>
      <c r="J46" t="s">
        <v>210</v>
      </c>
      <c r="K46" t="str">
        <f>"01736054069"</f>
        <v>0</v>
      </c>
    </row>
    <row r="47" spans="1:12">
      <c r="B47">
        <v>9</v>
      </c>
      <c r="C47" t="s">
        <v>211</v>
      </c>
      <c r="D47" t="s">
        <v>130</v>
      </c>
      <c r="F47" t="s">
        <v>131</v>
      </c>
      <c r="H47" t="s">
        <v>42</v>
      </c>
      <c r="I47" t="s">
        <v>16</v>
      </c>
      <c r="J47" t="s">
        <v>132</v>
      </c>
      <c r="K47" t="str">
        <f>"01703402007"</f>
        <v>0</v>
      </c>
      <c r="L47" t="s">
        <v>88</v>
      </c>
    </row>
    <row r="48" spans="1:12">
      <c r="B48">
        <v>10</v>
      </c>
      <c r="C48" t="s">
        <v>212</v>
      </c>
      <c r="D48" t="s">
        <v>213</v>
      </c>
      <c r="F48" t="s">
        <v>214</v>
      </c>
      <c r="H48" t="s">
        <v>15</v>
      </c>
      <c r="I48" t="s">
        <v>16</v>
      </c>
      <c r="J48" t="s">
        <v>215</v>
      </c>
    </row>
    <row r="49" spans="1:12">
      <c r="B49">
        <v>10</v>
      </c>
      <c r="C49" t="s">
        <v>216</v>
      </c>
      <c r="D49" t="s">
        <v>217</v>
      </c>
      <c r="F49" t="s">
        <v>218</v>
      </c>
      <c r="H49" t="s">
        <v>21</v>
      </c>
      <c r="I49" t="s">
        <v>16</v>
      </c>
      <c r="J49" t="s">
        <v>219</v>
      </c>
      <c r="K49" t="str">
        <f>"01308657635"</f>
        <v>0</v>
      </c>
      <c r="L49" t="s">
        <v>220</v>
      </c>
    </row>
    <row r="50" spans="1:12">
      <c r="B50">
        <v>10</v>
      </c>
      <c r="C50" t="s">
        <v>221</v>
      </c>
      <c r="D50" t="s">
        <v>222</v>
      </c>
      <c r="F50" t="s">
        <v>223</v>
      </c>
      <c r="H50" t="s">
        <v>27</v>
      </c>
      <c r="I50" t="s">
        <v>16</v>
      </c>
      <c r="J50" t="s">
        <v>224</v>
      </c>
      <c r="K50" t="str">
        <f>"01731654473"</f>
        <v>0</v>
      </c>
      <c r="L50" t="s">
        <v>38</v>
      </c>
    </row>
    <row r="51" spans="1:12">
      <c r="B51">
        <v>10</v>
      </c>
      <c r="C51" t="s">
        <v>225</v>
      </c>
      <c r="D51" t="s">
        <v>226</v>
      </c>
      <c r="F51" t="s">
        <v>227</v>
      </c>
      <c r="H51" t="s">
        <v>36</v>
      </c>
      <c r="I51" t="s">
        <v>16</v>
      </c>
      <c r="J51" t="s">
        <v>228</v>
      </c>
      <c r="K51" t="str">
        <f>"01730255446"</f>
        <v>0</v>
      </c>
      <c r="L51" t="s">
        <v>29</v>
      </c>
    </row>
    <row r="52" spans="1:12">
      <c r="B52">
        <v>10</v>
      </c>
      <c r="C52" t="s">
        <v>229</v>
      </c>
      <c r="D52" t="s">
        <v>230</v>
      </c>
      <c r="F52" t="s">
        <v>231</v>
      </c>
      <c r="H52" t="s">
        <v>42</v>
      </c>
      <c r="I52" t="s">
        <v>16</v>
      </c>
      <c r="J52" t="s">
        <v>232</v>
      </c>
      <c r="K52" t="str">
        <f>"01726002059"</f>
        <v>0</v>
      </c>
      <c r="L52" t="s">
        <v>102</v>
      </c>
    </row>
    <row r="53" spans="1:12">
      <c r="B53">
        <v>11</v>
      </c>
      <c r="C53" t="s">
        <v>233</v>
      </c>
      <c r="D53" t="s">
        <v>234</v>
      </c>
      <c r="F53" t="s">
        <v>235</v>
      </c>
      <c r="H53" t="s">
        <v>15</v>
      </c>
      <c r="I53" t="s">
        <v>16</v>
      </c>
      <c r="J53" t="s">
        <v>236</v>
      </c>
    </row>
    <row r="54" spans="1:12">
      <c r="B54">
        <v>11</v>
      </c>
      <c r="C54" t="s">
        <v>237</v>
      </c>
      <c r="D54" t="s">
        <v>238</v>
      </c>
      <c r="F54" t="s">
        <v>239</v>
      </c>
      <c r="H54" t="s">
        <v>21</v>
      </c>
      <c r="I54" t="s">
        <v>16</v>
      </c>
      <c r="J54" t="s">
        <v>240</v>
      </c>
      <c r="K54" t="str">
        <f>"01731555623"</f>
        <v>0</v>
      </c>
      <c r="L54" t="s">
        <v>23</v>
      </c>
    </row>
    <row r="55" spans="1:12">
      <c r="B55">
        <v>11</v>
      </c>
      <c r="C55" t="s">
        <v>241</v>
      </c>
      <c r="D55" t="s">
        <v>242</v>
      </c>
      <c r="F55" t="s">
        <v>243</v>
      </c>
      <c r="H55" t="s">
        <v>27</v>
      </c>
      <c r="I55" t="s">
        <v>16</v>
      </c>
      <c r="J55" t="s">
        <v>244</v>
      </c>
      <c r="K55" t="str">
        <f>"01727723209"</f>
        <v>0</v>
      </c>
      <c r="L55" t="s">
        <v>29</v>
      </c>
    </row>
    <row r="56" spans="1:12">
      <c r="B56">
        <v>11</v>
      </c>
      <c r="C56" t="s">
        <v>245</v>
      </c>
      <c r="D56" t="s">
        <v>201</v>
      </c>
      <c r="F56" t="s">
        <v>246</v>
      </c>
      <c r="H56" t="s">
        <v>36</v>
      </c>
      <c r="I56" t="s">
        <v>16</v>
      </c>
      <c r="J56" t="s">
        <v>247</v>
      </c>
      <c r="K56" t="str">
        <f>"01717418755"</f>
        <v>0</v>
      </c>
      <c r="L56" t="s">
        <v>149</v>
      </c>
    </row>
    <row r="57" spans="1:12">
      <c r="B57">
        <v>11</v>
      </c>
      <c r="C57" t="s">
        <v>248</v>
      </c>
      <c r="D57" t="s">
        <v>249</v>
      </c>
      <c r="F57" t="s">
        <v>250</v>
      </c>
      <c r="H57" t="s">
        <v>42</v>
      </c>
      <c r="I57" t="s">
        <v>16</v>
      </c>
      <c r="J57" t="s">
        <v>251</v>
      </c>
      <c r="K57" t="str">
        <f>"01715861755"</f>
        <v>0</v>
      </c>
      <c r="L57" t="s">
        <v>252</v>
      </c>
    </row>
    <row r="58" spans="1:12">
      <c r="B58">
        <v>12</v>
      </c>
      <c r="C58" t="s">
        <v>253</v>
      </c>
      <c r="D58" t="s">
        <v>254</v>
      </c>
      <c r="F58" t="s">
        <v>255</v>
      </c>
      <c r="H58" t="s">
        <v>15</v>
      </c>
      <c r="I58" t="s">
        <v>16</v>
      </c>
      <c r="J58" t="s">
        <v>256</v>
      </c>
    </row>
    <row r="59" spans="1:12">
      <c r="B59">
        <v>12</v>
      </c>
      <c r="C59" t="s">
        <v>257</v>
      </c>
      <c r="D59" t="s">
        <v>258</v>
      </c>
      <c r="F59" t="s">
        <v>259</v>
      </c>
      <c r="H59" t="s">
        <v>21</v>
      </c>
      <c r="I59" t="s">
        <v>16</v>
      </c>
      <c r="J59" t="s">
        <v>260</v>
      </c>
      <c r="K59" t="str">
        <f>"01715095041"</f>
        <v>0</v>
      </c>
      <c r="L59" t="s">
        <v>261</v>
      </c>
    </row>
    <row r="60" spans="1:12">
      <c r="B60">
        <v>12</v>
      </c>
      <c r="C60" t="s">
        <v>262</v>
      </c>
      <c r="D60" t="s">
        <v>263</v>
      </c>
      <c r="F60" t="s">
        <v>264</v>
      </c>
      <c r="H60" t="s">
        <v>27</v>
      </c>
      <c r="I60" t="s">
        <v>16</v>
      </c>
      <c r="J60" t="s">
        <v>265</v>
      </c>
      <c r="K60" t="str">
        <f>"01770816397"</f>
        <v>0</v>
      </c>
      <c r="L60" t="s">
        <v>111</v>
      </c>
    </row>
    <row r="61" spans="1:12">
      <c r="B61">
        <v>12</v>
      </c>
      <c r="C61" t="s">
        <v>266</v>
      </c>
      <c r="D61" t="s">
        <v>267</v>
      </c>
      <c r="F61" t="s">
        <v>268</v>
      </c>
      <c r="H61" t="s">
        <v>36</v>
      </c>
      <c r="I61" t="s">
        <v>16</v>
      </c>
      <c r="J61" t="s">
        <v>269</v>
      </c>
      <c r="K61" t="str">
        <f>"01833982533"</f>
        <v>0</v>
      </c>
      <c r="L61" t="s">
        <v>102</v>
      </c>
    </row>
    <row r="62" spans="1:12">
      <c r="B62">
        <v>12</v>
      </c>
      <c r="C62" t="s">
        <v>270</v>
      </c>
      <c r="D62" t="s">
        <v>271</v>
      </c>
      <c r="F62" t="s">
        <v>272</v>
      </c>
      <c r="H62" t="s">
        <v>42</v>
      </c>
      <c r="I62" t="s">
        <v>16</v>
      </c>
      <c r="J62" t="s">
        <v>273</v>
      </c>
      <c r="K62" t="str">
        <f>"01739962828"</f>
        <v>0</v>
      </c>
      <c r="L62" t="s">
        <v>29</v>
      </c>
    </row>
    <row r="63" spans="1:12">
      <c r="B63">
        <v>13</v>
      </c>
      <c r="C63" t="s">
        <v>274</v>
      </c>
      <c r="D63" t="s">
        <v>275</v>
      </c>
      <c r="F63" t="s">
        <v>276</v>
      </c>
      <c r="H63" t="s">
        <v>15</v>
      </c>
      <c r="I63" t="s">
        <v>16</v>
      </c>
      <c r="J63" t="s">
        <v>277</v>
      </c>
    </row>
    <row r="64" spans="1:12">
      <c r="B64">
        <v>13</v>
      </c>
      <c r="C64" t="s">
        <v>278</v>
      </c>
      <c r="D64" t="s">
        <v>279</v>
      </c>
      <c r="F64" t="s">
        <v>280</v>
      </c>
      <c r="H64" t="s">
        <v>21</v>
      </c>
      <c r="I64" t="s">
        <v>16</v>
      </c>
      <c r="J64" t="s">
        <v>281</v>
      </c>
      <c r="K64" t="str">
        <f>"01707223529"</f>
        <v>0</v>
      </c>
      <c r="L64" t="s">
        <v>282</v>
      </c>
    </row>
    <row r="65" spans="1:12">
      <c r="B65">
        <v>13</v>
      </c>
      <c r="C65" t="s">
        <v>283</v>
      </c>
      <c r="D65" t="s">
        <v>284</v>
      </c>
      <c r="F65" t="s">
        <v>285</v>
      </c>
      <c r="H65" t="s">
        <v>27</v>
      </c>
      <c r="I65" t="s">
        <v>16</v>
      </c>
      <c r="J65" t="s">
        <v>286</v>
      </c>
      <c r="K65" t="str">
        <f>"01786190230"</f>
        <v>0</v>
      </c>
      <c r="L65" t="s">
        <v>149</v>
      </c>
    </row>
    <row r="66" spans="1:12">
      <c r="B66">
        <v>13</v>
      </c>
      <c r="C66" t="s">
        <v>287</v>
      </c>
      <c r="D66" t="s">
        <v>288</v>
      </c>
      <c r="F66" t="s">
        <v>289</v>
      </c>
      <c r="H66" t="s">
        <v>36</v>
      </c>
      <c r="I66" t="s">
        <v>16</v>
      </c>
      <c r="J66" t="s">
        <v>290</v>
      </c>
      <c r="K66" t="str">
        <f>"01727545021"</f>
        <v>0</v>
      </c>
      <c r="L66" t="s">
        <v>29</v>
      </c>
    </row>
    <row r="67" spans="1:12">
      <c r="B67">
        <v>13</v>
      </c>
      <c r="C67" t="s">
        <v>291</v>
      </c>
      <c r="D67" t="s">
        <v>292</v>
      </c>
      <c r="F67" t="s">
        <v>293</v>
      </c>
      <c r="H67" t="s">
        <v>42</v>
      </c>
      <c r="I67" t="s">
        <v>16</v>
      </c>
      <c r="J67" t="s">
        <v>294</v>
      </c>
      <c r="K67" t="str">
        <f>"01787483173"</f>
        <v>0</v>
      </c>
      <c r="L67" t="s">
        <v>44</v>
      </c>
    </row>
    <row r="68" spans="1:12">
      <c r="B68">
        <v>14</v>
      </c>
      <c r="C68" t="s">
        <v>295</v>
      </c>
      <c r="D68" t="s">
        <v>296</v>
      </c>
      <c r="F68" t="s">
        <v>297</v>
      </c>
      <c r="H68" t="s">
        <v>15</v>
      </c>
      <c r="I68" t="s">
        <v>16</v>
      </c>
      <c r="J68" t="s">
        <v>298</v>
      </c>
    </row>
    <row r="69" spans="1:12">
      <c r="B69">
        <v>14</v>
      </c>
      <c r="C69" t="s">
        <v>299</v>
      </c>
      <c r="D69" t="s">
        <v>300</v>
      </c>
      <c r="F69" t="s">
        <v>301</v>
      </c>
      <c r="H69" t="s">
        <v>21</v>
      </c>
      <c r="I69" t="s">
        <v>16</v>
      </c>
      <c r="J69" t="s">
        <v>302</v>
      </c>
      <c r="K69" t="str">
        <f>"01753731791"</f>
        <v>0</v>
      </c>
      <c r="L69" t="s">
        <v>303</v>
      </c>
    </row>
    <row r="70" spans="1:12">
      <c r="B70">
        <v>14</v>
      </c>
      <c r="C70" t="s">
        <v>304</v>
      </c>
      <c r="D70" t="s">
        <v>305</v>
      </c>
      <c r="F70" t="s">
        <v>306</v>
      </c>
      <c r="H70" t="s">
        <v>27</v>
      </c>
      <c r="I70" t="s">
        <v>16</v>
      </c>
      <c r="J70" t="s">
        <v>307</v>
      </c>
      <c r="K70" t="str">
        <f>"01712324262"</f>
        <v>0</v>
      </c>
      <c r="L70" t="s">
        <v>53</v>
      </c>
    </row>
    <row r="71" spans="1:12">
      <c r="B71">
        <v>14</v>
      </c>
      <c r="C71" t="s">
        <v>308</v>
      </c>
      <c r="D71" t="s">
        <v>309</v>
      </c>
      <c r="F71" t="s">
        <v>310</v>
      </c>
      <c r="H71" t="s">
        <v>36</v>
      </c>
      <c r="I71" t="s">
        <v>16</v>
      </c>
      <c r="J71" t="s">
        <v>311</v>
      </c>
      <c r="K71" t="str">
        <f>"01748075473"</f>
        <v>0</v>
      </c>
      <c r="L71" t="s">
        <v>312</v>
      </c>
    </row>
    <row r="72" spans="1:12">
      <c r="B72">
        <v>14</v>
      </c>
      <c r="C72" t="s">
        <v>313</v>
      </c>
      <c r="D72" t="s">
        <v>314</v>
      </c>
      <c r="F72" t="s">
        <v>315</v>
      </c>
      <c r="H72" t="s">
        <v>42</v>
      </c>
      <c r="I72" t="s">
        <v>16</v>
      </c>
      <c r="J72" t="s">
        <v>316</v>
      </c>
      <c r="K72" t="str">
        <f>"01723337481"</f>
        <v>0</v>
      </c>
      <c r="L72" t="s">
        <v>317</v>
      </c>
    </row>
    <row r="73" spans="1:12">
      <c r="B73">
        <v>15</v>
      </c>
      <c r="C73" t="s">
        <v>318</v>
      </c>
      <c r="D73" t="s">
        <v>319</v>
      </c>
      <c r="F73" t="s">
        <v>320</v>
      </c>
      <c r="H73" t="s">
        <v>21</v>
      </c>
      <c r="I73" t="s">
        <v>16</v>
      </c>
      <c r="J73" t="s">
        <v>321</v>
      </c>
      <c r="K73" t="str">
        <f>"01786183929"</f>
        <v>0</v>
      </c>
      <c r="L73" t="s">
        <v>322</v>
      </c>
    </row>
    <row r="74" spans="1:12">
      <c r="B74">
        <v>15</v>
      </c>
      <c r="C74" t="s">
        <v>323</v>
      </c>
      <c r="D74" t="s">
        <v>324</v>
      </c>
      <c r="F74" t="s">
        <v>325</v>
      </c>
      <c r="H74" t="s">
        <v>27</v>
      </c>
      <c r="I74" t="s">
        <v>16</v>
      </c>
      <c r="J74" t="s">
        <v>326</v>
      </c>
      <c r="K74" t="str">
        <f>"01781043957"</f>
        <v>0</v>
      </c>
      <c r="L74" t="s">
        <v>29</v>
      </c>
    </row>
    <row r="75" spans="1:12">
      <c r="B75">
        <v>15</v>
      </c>
      <c r="C75" t="s">
        <v>327</v>
      </c>
      <c r="D75" t="s">
        <v>328</v>
      </c>
      <c r="F75" t="s">
        <v>329</v>
      </c>
      <c r="H75" t="s">
        <v>36</v>
      </c>
      <c r="I75" t="s">
        <v>16</v>
      </c>
      <c r="J75" t="s">
        <v>330</v>
      </c>
      <c r="K75" t="str">
        <f>"01744216033"</f>
        <v>0</v>
      </c>
      <c r="L75" t="s">
        <v>312</v>
      </c>
    </row>
    <row r="76" spans="1:12">
      <c r="B76">
        <v>15</v>
      </c>
      <c r="C76" t="s">
        <v>331</v>
      </c>
      <c r="D76" t="s">
        <v>332</v>
      </c>
      <c r="F76" t="s">
        <v>333</v>
      </c>
      <c r="H76" t="s">
        <v>42</v>
      </c>
      <c r="I76" t="s">
        <v>16</v>
      </c>
      <c r="J76" t="s">
        <v>334</v>
      </c>
      <c r="K76" t="str">
        <f>"01754187207"</f>
        <v>0</v>
      </c>
      <c r="L76" t="s">
        <v>252</v>
      </c>
    </row>
    <row r="77" spans="1:12">
      <c r="B77">
        <v>16</v>
      </c>
      <c r="C77" t="s">
        <v>335</v>
      </c>
      <c r="D77" t="s">
        <v>336</v>
      </c>
      <c r="F77" t="s">
        <v>337</v>
      </c>
      <c r="H77" t="s">
        <v>15</v>
      </c>
      <c r="I77" t="s">
        <v>16</v>
      </c>
      <c r="J77" t="s">
        <v>338</v>
      </c>
    </row>
    <row r="78" spans="1:12">
      <c r="B78">
        <v>16</v>
      </c>
      <c r="C78" t="s">
        <v>339</v>
      </c>
      <c r="D78" t="s">
        <v>340</v>
      </c>
      <c r="F78" t="s">
        <v>341</v>
      </c>
      <c r="H78" t="s">
        <v>21</v>
      </c>
      <c r="I78" t="s">
        <v>16</v>
      </c>
      <c r="J78" t="s">
        <v>342</v>
      </c>
      <c r="L78" t="s">
        <v>343</v>
      </c>
    </row>
    <row r="79" spans="1:12">
      <c r="B79">
        <v>16</v>
      </c>
      <c r="C79" t="s">
        <v>344</v>
      </c>
      <c r="D79" t="s">
        <v>345</v>
      </c>
      <c r="F79" t="s">
        <v>346</v>
      </c>
      <c r="H79" t="s">
        <v>27</v>
      </c>
      <c r="I79" t="s">
        <v>16</v>
      </c>
      <c r="J79" t="s">
        <v>347</v>
      </c>
      <c r="K79" t="str">
        <f>"01751081152"</f>
        <v>0</v>
      </c>
      <c r="L79" t="s">
        <v>348</v>
      </c>
    </row>
    <row r="80" spans="1:12">
      <c r="B80">
        <v>16</v>
      </c>
      <c r="C80" t="s">
        <v>349</v>
      </c>
      <c r="D80" t="s">
        <v>350</v>
      </c>
      <c r="F80" t="s">
        <v>351</v>
      </c>
      <c r="H80" t="s">
        <v>36</v>
      </c>
      <c r="I80" t="s">
        <v>16</v>
      </c>
      <c r="J80" t="s">
        <v>352</v>
      </c>
      <c r="K80" t="str">
        <f>"01775714617"</f>
        <v>0</v>
      </c>
      <c r="L80" t="s">
        <v>53</v>
      </c>
    </row>
    <row r="81" spans="1:12">
      <c r="B81">
        <v>16</v>
      </c>
      <c r="C81" t="s">
        <v>30</v>
      </c>
      <c r="D81" t="s">
        <v>353</v>
      </c>
      <c r="F81" t="s">
        <v>293</v>
      </c>
      <c r="H81" t="s">
        <v>42</v>
      </c>
      <c r="I81" t="s">
        <v>16</v>
      </c>
      <c r="J81" t="s">
        <v>354</v>
      </c>
      <c r="K81" t="str">
        <f>"01752589234"</f>
        <v>0</v>
      </c>
      <c r="L81" t="s">
        <v>312</v>
      </c>
    </row>
    <row r="82" spans="1:12">
      <c r="B82">
        <v>17</v>
      </c>
      <c r="C82" t="s">
        <v>355</v>
      </c>
      <c r="D82" t="s">
        <v>179</v>
      </c>
      <c r="F82" t="s">
        <v>180</v>
      </c>
      <c r="H82" t="s">
        <v>15</v>
      </c>
      <c r="I82" t="s">
        <v>16</v>
      </c>
      <c r="J82" t="s">
        <v>356</v>
      </c>
    </row>
    <row r="83" spans="1:12">
      <c r="B83">
        <v>17</v>
      </c>
      <c r="C83" t="s">
        <v>357</v>
      </c>
      <c r="D83" t="s">
        <v>358</v>
      </c>
      <c r="F83" t="s">
        <v>180</v>
      </c>
      <c r="H83" t="s">
        <v>21</v>
      </c>
      <c r="I83" t="s">
        <v>16</v>
      </c>
      <c r="J83" t="s">
        <v>359</v>
      </c>
      <c r="K83" t="str">
        <f>"01786184006"</f>
        <v>0</v>
      </c>
    </row>
    <row r="84" spans="1:12">
      <c r="B84">
        <v>17</v>
      </c>
      <c r="C84" t="s">
        <v>360</v>
      </c>
      <c r="D84" t="s">
        <v>361</v>
      </c>
      <c r="F84" t="s">
        <v>362</v>
      </c>
      <c r="H84" t="s">
        <v>27</v>
      </c>
      <c r="I84" t="s">
        <v>16</v>
      </c>
      <c r="J84" t="s">
        <v>363</v>
      </c>
      <c r="K84" t="str">
        <f>"01723311969"</f>
        <v>0</v>
      </c>
      <c r="L84" t="s">
        <v>38</v>
      </c>
    </row>
    <row r="85" spans="1:12">
      <c r="B85">
        <v>17</v>
      </c>
      <c r="C85" t="s">
        <v>364</v>
      </c>
      <c r="D85" t="s">
        <v>365</v>
      </c>
      <c r="F85" t="s">
        <v>366</v>
      </c>
      <c r="H85" t="s">
        <v>36</v>
      </c>
      <c r="I85" t="s">
        <v>16</v>
      </c>
      <c r="J85" t="s">
        <v>367</v>
      </c>
      <c r="K85" t="str">
        <f>"01752824780"</f>
        <v>0</v>
      </c>
      <c r="L85" t="s">
        <v>53</v>
      </c>
    </row>
    <row r="86" spans="1:12">
      <c r="B86">
        <v>17</v>
      </c>
      <c r="C86" t="s">
        <v>368</v>
      </c>
      <c r="D86" t="s">
        <v>369</v>
      </c>
      <c r="F86" t="s">
        <v>370</v>
      </c>
      <c r="H86" t="s">
        <v>42</v>
      </c>
      <c r="I86" t="s">
        <v>16</v>
      </c>
      <c r="J86" t="s">
        <v>371</v>
      </c>
      <c r="K86" t="str">
        <f>"01749135665"</f>
        <v>0</v>
      </c>
      <c r="L86" t="s">
        <v>29</v>
      </c>
    </row>
    <row r="87" spans="1:12">
      <c r="B87">
        <v>18</v>
      </c>
      <c r="C87" t="s">
        <v>372</v>
      </c>
      <c r="D87" t="s">
        <v>373</v>
      </c>
      <c r="F87" t="s">
        <v>374</v>
      </c>
      <c r="H87" t="s">
        <v>15</v>
      </c>
      <c r="I87" t="s">
        <v>16</v>
      </c>
      <c r="J87" t="s">
        <v>375</v>
      </c>
    </row>
    <row r="88" spans="1:12">
      <c r="B88">
        <v>18</v>
      </c>
      <c r="C88" t="s">
        <v>376</v>
      </c>
      <c r="D88" t="s">
        <v>377</v>
      </c>
      <c r="F88" t="s">
        <v>378</v>
      </c>
      <c r="H88" t="s">
        <v>21</v>
      </c>
      <c r="I88" t="s">
        <v>16</v>
      </c>
      <c r="J88" t="s">
        <v>379</v>
      </c>
      <c r="K88" t="str">
        <f>"01789945990"</f>
        <v>0</v>
      </c>
      <c r="L88" t="s">
        <v>282</v>
      </c>
    </row>
    <row r="89" spans="1:12">
      <c r="B89">
        <v>18</v>
      </c>
      <c r="C89" t="s">
        <v>380</v>
      </c>
      <c r="D89" t="s">
        <v>381</v>
      </c>
      <c r="F89" t="s">
        <v>382</v>
      </c>
      <c r="H89" t="s">
        <v>27</v>
      </c>
      <c r="I89" t="s">
        <v>16</v>
      </c>
      <c r="J89" t="s">
        <v>383</v>
      </c>
      <c r="K89" t="str">
        <f>"01795427180"</f>
        <v>0</v>
      </c>
      <c r="L89" t="s">
        <v>348</v>
      </c>
    </row>
    <row r="90" spans="1:12">
      <c r="B90">
        <v>18</v>
      </c>
      <c r="C90" t="s">
        <v>384</v>
      </c>
      <c r="D90" t="s">
        <v>385</v>
      </c>
      <c r="F90" t="s">
        <v>386</v>
      </c>
      <c r="H90" t="s">
        <v>36</v>
      </c>
      <c r="I90" t="s">
        <v>16</v>
      </c>
      <c r="J90" t="s">
        <v>387</v>
      </c>
      <c r="K90" t="str">
        <f>"01712374399"</f>
        <v>0</v>
      </c>
    </row>
    <row r="91" spans="1:12">
      <c r="B91">
        <v>18</v>
      </c>
      <c r="C91" t="s">
        <v>388</v>
      </c>
      <c r="D91" t="s">
        <v>389</v>
      </c>
      <c r="F91" t="s">
        <v>390</v>
      </c>
      <c r="H91" t="s">
        <v>42</v>
      </c>
      <c r="I91" t="s">
        <v>16</v>
      </c>
      <c r="J91" t="s">
        <v>391</v>
      </c>
      <c r="K91" t="str">
        <f>"01779728573"</f>
        <v>0</v>
      </c>
      <c r="L91" t="s">
        <v>29</v>
      </c>
    </row>
    <row r="92" spans="1:12">
      <c r="B92">
        <v>19</v>
      </c>
      <c r="C92" t="s">
        <v>392</v>
      </c>
      <c r="D92" t="s">
        <v>393</v>
      </c>
      <c r="F92" t="s">
        <v>394</v>
      </c>
      <c r="H92" t="s">
        <v>15</v>
      </c>
      <c r="I92" t="s">
        <v>16</v>
      </c>
      <c r="J92" t="s">
        <v>395</v>
      </c>
    </row>
    <row r="93" spans="1:12">
      <c r="B93">
        <v>19</v>
      </c>
      <c r="C93" t="s">
        <v>396</v>
      </c>
      <c r="D93" t="s">
        <v>397</v>
      </c>
      <c r="F93" t="s">
        <v>398</v>
      </c>
      <c r="H93" t="s">
        <v>27</v>
      </c>
      <c r="I93" t="s">
        <v>16</v>
      </c>
      <c r="J93" t="s">
        <v>399</v>
      </c>
      <c r="K93" t="str">
        <f>"01718536809"</f>
        <v>0</v>
      </c>
      <c r="L93" t="s">
        <v>400</v>
      </c>
    </row>
    <row r="94" spans="1:12">
      <c r="B94">
        <v>19</v>
      </c>
      <c r="C94" t="s">
        <v>401</v>
      </c>
      <c r="D94" t="s">
        <v>402</v>
      </c>
      <c r="F94" t="s">
        <v>403</v>
      </c>
      <c r="H94" t="s">
        <v>36</v>
      </c>
      <c r="I94" t="s">
        <v>16</v>
      </c>
      <c r="J94" t="s">
        <v>404</v>
      </c>
      <c r="K94" t="str">
        <f>"01760003457"</f>
        <v>0</v>
      </c>
      <c r="L94" t="s">
        <v>102</v>
      </c>
    </row>
    <row r="95" spans="1:12">
      <c r="B95">
        <v>19</v>
      </c>
      <c r="C95" t="s">
        <v>405</v>
      </c>
      <c r="D95" t="s">
        <v>406</v>
      </c>
      <c r="F95" t="s">
        <v>407</v>
      </c>
      <c r="H95" t="s">
        <v>42</v>
      </c>
      <c r="I95" t="s">
        <v>16</v>
      </c>
      <c r="J95" t="s">
        <v>408</v>
      </c>
      <c r="L95" t="s">
        <v>29</v>
      </c>
    </row>
    <row r="96" spans="1:12">
      <c r="B96">
        <v>20</v>
      </c>
      <c r="C96" t="s">
        <v>212</v>
      </c>
      <c r="D96" t="s">
        <v>409</v>
      </c>
      <c r="F96" t="s">
        <v>410</v>
      </c>
      <c r="H96" t="s">
        <v>15</v>
      </c>
      <c r="I96" t="s">
        <v>16</v>
      </c>
      <c r="J96" t="s">
        <v>411</v>
      </c>
    </row>
    <row r="97" spans="1:12">
      <c r="B97">
        <v>20</v>
      </c>
      <c r="C97" t="s">
        <v>412</v>
      </c>
      <c r="D97" t="s">
        <v>413</v>
      </c>
      <c r="F97" t="s">
        <v>414</v>
      </c>
      <c r="H97" t="s">
        <v>21</v>
      </c>
      <c r="I97" t="s">
        <v>16</v>
      </c>
      <c r="J97" t="s">
        <v>415</v>
      </c>
      <c r="K97" t="str">
        <f>"01307569060"</f>
        <v>0</v>
      </c>
      <c r="L97" t="s">
        <v>343</v>
      </c>
    </row>
    <row r="98" spans="1:12">
      <c r="B98">
        <v>20</v>
      </c>
      <c r="C98" t="s">
        <v>416</v>
      </c>
      <c r="D98" t="s">
        <v>417</v>
      </c>
      <c r="F98" t="s">
        <v>418</v>
      </c>
      <c r="H98" t="s">
        <v>27</v>
      </c>
      <c r="I98" t="s">
        <v>16</v>
      </c>
      <c r="J98" t="s">
        <v>419</v>
      </c>
      <c r="K98" t="str">
        <f>"017781897736"</f>
        <v>0</v>
      </c>
      <c r="L98" t="s">
        <v>420</v>
      </c>
    </row>
    <row r="99" spans="1:12">
      <c r="B99">
        <v>20</v>
      </c>
      <c r="C99" t="s">
        <v>421</v>
      </c>
      <c r="D99" t="s">
        <v>422</v>
      </c>
      <c r="F99" t="s">
        <v>423</v>
      </c>
      <c r="H99" t="s">
        <v>36</v>
      </c>
      <c r="I99" t="s">
        <v>16</v>
      </c>
      <c r="J99" t="s">
        <v>424</v>
      </c>
      <c r="K99" t="str">
        <f>"01799456149"</f>
        <v>0</v>
      </c>
      <c r="L99" t="s">
        <v>38</v>
      </c>
    </row>
    <row r="100" spans="1:12">
      <c r="B100">
        <v>20</v>
      </c>
      <c r="C100" t="s">
        <v>425</v>
      </c>
      <c r="D100" t="s">
        <v>426</v>
      </c>
      <c r="F100" t="s">
        <v>427</v>
      </c>
      <c r="H100" t="s">
        <v>42</v>
      </c>
      <c r="I100" t="s">
        <v>16</v>
      </c>
      <c r="J100" t="s">
        <v>428</v>
      </c>
      <c r="K100" t="str">
        <f>"01735580718"</f>
        <v>0</v>
      </c>
      <c r="L100" t="s">
        <v>252</v>
      </c>
    </row>
    <row r="101" spans="1:12">
      <c r="B101">
        <v>21</v>
      </c>
      <c r="C101" t="s">
        <v>429</v>
      </c>
      <c r="D101" t="s">
        <v>430</v>
      </c>
      <c r="F101" t="s">
        <v>431</v>
      </c>
      <c r="H101" t="s">
        <v>21</v>
      </c>
      <c r="I101" t="s">
        <v>16</v>
      </c>
      <c r="J101" t="s">
        <v>432</v>
      </c>
      <c r="K101" t="str">
        <f>"01733635725"</f>
        <v>0</v>
      </c>
      <c r="L101" t="s">
        <v>97</v>
      </c>
    </row>
    <row r="102" spans="1:12">
      <c r="B102">
        <v>21</v>
      </c>
      <c r="C102" t="s">
        <v>433</v>
      </c>
      <c r="D102" t="s">
        <v>434</v>
      </c>
      <c r="F102" t="s">
        <v>435</v>
      </c>
      <c r="H102" t="s">
        <v>27</v>
      </c>
      <c r="I102" t="s">
        <v>16</v>
      </c>
      <c r="J102" t="s">
        <v>436</v>
      </c>
      <c r="K102" t="str">
        <f>"01712238346"</f>
        <v>0</v>
      </c>
      <c r="L102" t="s">
        <v>111</v>
      </c>
    </row>
    <row r="103" spans="1:12">
      <c r="B103">
        <v>21</v>
      </c>
      <c r="C103" t="s">
        <v>437</v>
      </c>
      <c r="D103" t="s">
        <v>146</v>
      </c>
      <c r="F103" t="s">
        <v>156</v>
      </c>
      <c r="H103" t="s">
        <v>36</v>
      </c>
      <c r="I103" t="s">
        <v>16</v>
      </c>
      <c r="J103" t="s">
        <v>438</v>
      </c>
      <c r="K103" t="str">
        <f>"01794336924"</f>
        <v>0</v>
      </c>
      <c r="L103" t="s">
        <v>44</v>
      </c>
    </row>
    <row r="104" spans="1:12">
      <c r="B104">
        <v>21</v>
      </c>
      <c r="C104" t="s">
        <v>439</v>
      </c>
      <c r="D104" t="s">
        <v>440</v>
      </c>
      <c r="F104" t="s">
        <v>441</v>
      </c>
      <c r="H104" t="s">
        <v>42</v>
      </c>
      <c r="I104" t="s">
        <v>16</v>
      </c>
      <c r="J104" t="s">
        <v>442</v>
      </c>
      <c r="K104" t="str">
        <f>"01767068625"</f>
        <v>0</v>
      </c>
      <c r="L104" t="s">
        <v>29</v>
      </c>
    </row>
    <row r="105" spans="1:12">
      <c r="B105">
        <v>22</v>
      </c>
      <c r="C105" t="s">
        <v>443</v>
      </c>
      <c r="D105" t="s">
        <v>444</v>
      </c>
      <c r="F105" t="s">
        <v>445</v>
      </c>
      <c r="H105" t="s">
        <v>21</v>
      </c>
      <c r="I105" t="s">
        <v>16</v>
      </c>
      <c r="J105" t="s">
        <v>446</v>
      </c>
      <c r="K105" t="str">
        <f>"01721231953"</f>
        <v>0</v>
      </c>
      <c r="L105" t="s">
        <v>343</v>
      </c>
    </row>
    <row r="106" spans="1:12">
      <c r="B106">
        <v>22</v>
      </c>
      <c r="C106" t="s">
        <v>447</v>
      </c>
      <c r="D106" t="s">
        <v>448</v>
      </c>
      <c r="F106" t="s">
        <v>449</v>
      </c>
      <c r="H106" t="s">
        <v>27</v>
      </c>
      <c r="I106" t="s">
        <v>16</v>
      </c>
      <c r="J106" t="s">
        <v>450</v>
      </c>
      <c r="K106" t="str">
        <f>"017753111650"</f>
        <v>0</v>
      </c>
      <c r="L106" t="s">
        <v>149</v>
      </c>
    </row>
    <row r="107" spans="1:12">
      <c r="B107">
        <v>22</v>
      </c>
      <c r="C107" t="s">
        <v>451</v>
      </c>
      <c r="D107" t="s">
        <v>452</v>
      </c>
      <c r="F107" t="s">
        <v>453</v>
      </c>
      <c r="H107" t="s">
        <v>36</v>
      </c>
      <c r="I107" t="s">
        <v>16</v>
      </c>
      <c r="J107" t="s">
        <v>454</v>
      </c>
      <c r="K107" t="str">
        <f>"01776063832"</f>
        <v>0</v>
      </c>
      <c r="L107" t="s">
        <v>29</v>
      </c>
    </row>
    <row r="108" spans="1:12">
      <c r="B108">
        <v>22</v>
      </c>
      <c r="C108" t="s">
        <v>455</v>
      </c>
      <c r="D108" t="s">
        <v>456</v>
      </c>
      <c r="F108" t="s">
        <v>453</v>
      </c>
      <c r="H108" t="s">
        <v>42</v>
      </c>
      <c r="I108" t="s">
        <v>16</v>
      </c>
      <c r="J108" t="s">
        <v>457</v>
      </c>
      <c r="K108" t="str">
        <f>"01774406553"</f>
        <v>0</v>
      </c>
      <c r="L108" t="s">
        <v>29</v>
      </c>
    </row>
    <row r="109" spans="1:12">
      <c r="B109">
        <v>23</v>
      </c>
      <c r="C109" t="s">
        <v>458</v>
      </c>
      <c r="D109" t="s">
        <v>459</v>
      </c>
      <c r="F109" t="s">
        <v>460</v>
      </c>
      <c r="H109" t="s">
        <v>42</v>
      </c>
      <c r="I109" t="s">
        <v>16</v>
      </c>
      <c r="J109" t="s">
        <v>461</v>
      </c>
      <c r="L109" t="s">
        <v>29</v>
      </c>
    </row>
    <row r="110" spans="1:12">
      <c r="B110">
        <v>23</v>
      </c>
      <c r="C110" t="s">
        <v>462</v>
      </c>
      <c r="D110" t="s">
        <v>463</v>
      </c>
      <c r="F110" t="s">
        <v>464</v>
      </c>
      <c r="H110" t="s">
        <v>27</v>
      </c>
      <c r="I110" t="s">
        <v>16</v>
      </c>
      <c r="J110" t="s">
        <v>465</v>
      </c>
      <c r="K110" t="str">
        <f>"01728166376"</f>
        <v>0</v>
      </c>
      <c r="L110" t="s">
        <v>38</v>
      </c>
    </row>
    <row r="111" spans="1:12">
      <c r="B111">
        <v>23</v>
      </c>
      <c r="C111" t="s">
        <v>466</v>
      </c>
      <c r="D111" t="s">
        <v>467</v>
      </c>
      <c r="F111" t="s">
        <v>468</v>
      </c>
      <c r="H111" t="s">
        <v>36</v>
      </c>
      <c r="I111" t="s">
        <v>16</v>
      </c>
      <c r="J111" t="s">
        <v>469</v>
      </c>
      <c r="K111" t="str">
        <f>"01792144865"</f>
        <v>0</v>
      </c>
      <c r="L111" t="s">
        <v>470</v>
      </c>
    </row>
    <row r="112" spans="1:12">
      <c r="B112">
        <v>24</v>
      </c>
      <c r="C112" t="s">
        <v>471</v>
      </c>
      <c r="D112" t="s">
        <v>472</v>
      </c>
      <c r="F112" t="s">
        <v>473</v>
      </c>
      <c r="H112" t="s">
        <v>27</v>
      </c>
      <c r="I112" t="s">
        <v>16</v>
      </c>
      <c r="J112" t="s">
        <v>474</v>
      </c>
      <c r="L112" t="s">
        <v>88</v>
      </c>
    </row>
    <row r="113" spans="1:12">
      <c r="B113">
        <v>24</v>
      </c>
      <c r="C113" t="s">
        <v>475</v>
      </c>
      <c r="D113" t="s">
        <v>476</v>
      </c>
      <c r="F113" t="s">
        <v>477</v>
      </c>
      <c r="H113" t="s">
        <v>21</v>
      </c>
      <c r="I113" t="s">
        <v>16</v>
      </c>
      <c r="J113" t="s">
        <v>478</v>
      </c>
    </row>
    <row r="114" spans="1:12">
      <c r="B114">
        <v>24</v>
      </c>
      <c r="C114" t="s">
        <v>479</v>
      </c>
      <c r="D114" t="s">
        <v>480</v>
      </c>
      <c r="F114" t="s">
        <v>276</v>
      </c>
      <c r="H114" t="s">
        <v>36</v>
      </c>
      <c r="I114" t="s">
        <v>16</v>
      </c>
      <c r="J114" t="s">
        <v>481</v>
      </c>
      <c r="K114" t="str">
        <f>"01726095050"</f>
        <v>0</v>
      </c>
      <c r="L114" t="s">
        <v>29</v>
      </c>
    </row>
    <row r="115" spans="1:12">
      <c r="B115">
        <v>24</v>
      </c>
      <c r="C115" t="s">
        <v>482</v>
      </c>
      <c r="D115" t="s">
        <v>184</v>
      </c>
      <c r="F115" t="s">
        <v>185</v>
      </c>
      <c r="H115" t="s">
        <v>42</v>
      </c>
      <c r="I115" t="s">
        <v>16</v>
      </c>
      <c r="J115" t="s">
        <v>483</v>
      </c>
      <c r="K115" t="str">
        <f>"01741480485"</f>
        <v>0</v>
      </c>
      <c r="L115" t="s">
        <v>111</v>
      </c>
    </row>
    <row r="116" spans="1:12">
      <c r="B116">
        <v>25</v>
      </c>
      <c r="C116" t="s">
        <v>484</v>
      </c>
      <c r="D116" t="s">
        <v>485</v>
      </c>
      <c r="F116" t="s">
        <v>297</v>
      </c>
      <c r="H116" t="s">
        <v>21</v>
      </c>
      <c r="I116" t="s">
        <v>16</v>
      </c>
      <c r="J116" t="s">
        <v>486</v>
      </c>
      <c r="K116" t="str">
        <f>"01752755841"</f>
        <v>0</v>
      </c>
      <c r="L116" t="s">
        <v>23</v>
      </c>
    </row>
    <row r="117" spans="1:12">
      <c r="B117">
        <v>25</v>
      </c>
      <c r="C117" t="s">
        <v>487</v>
      </c>
      <c r="D117" t="s">
        <v>488</v>
      </c>
      <c r="F117" t="s">
        <v>489</v>
      </c>
      <c r="H117" t="s">
        <v>27</v>
      </c>
      <c r="I117" t="s">
        <v>16</v>
      </c>
      <c r="J117" t="s">
        <v>490</v>
      </c>
      <c r="K117" t="str">
        <f>"01736790984"</f>
        <v>0</v>
      </c>
      <c r="L117" t="s">
        <v>491</v>
      </c>
    </row>
    <row r="118" spans="1:12">
      <c r="B118">
        <v>25</v>
      </c>
      <c r="C118" t="s">
        <v>492</v>
      </c>
      <c r="D118" t="s">
        <v>493</v>
      </c>
      <c r="F118" t="s">
        <v>494</v>
      </c>
      <c r="H118" t="s">
        <v>36</v>
      </c>
      <c r="I118" t="s">
        <v>16</v>
      </c>
      <c r="J118" t="s">
        <v>207</v>
      </c>
      <c r="K118" t="str">
        <f>"01616394215"</f>
        <v>0</v>
      </c>
      <c r="L118" t="s">
        <v>111</v>
      </c>
    </row>
    <row r="119" spans="1:12">
      <c r="B119">
        <v>25</v>
      </c>
      <c r="C119" t="s">
        <v>495</v>
      </c>
      <c r="D119" t="s">
        <v>213</v>
      </c>
      <c r="F119" t="s">
        <v>214</v>
      </c>
      <c r="H119" t="s">
        <v>42</v>
      </c>
      <c r="I119" t="s">
        <v>16</v>
      </c>
      <c r="J119" t="s">
        <v>496</v>
      </c>
      <c r="K119" t="str">
        <f>"01734848906"</f>
        <v>0</v>
      </c>
      <c r="L119" t="s">
        <v>149</v>
      </c>
    </row>
    <row r="120" spans="1:12">
      <c r="B120">
        <v>26</v>
      </c>
      <c r="C120" t="s">
        <v>497</v>
      </c>
      <c r="D120" t="s">
        <v>498</v>
      </c>
      <c r="F120" t="s">
        <v>293</v>
      </c>
      <c r="H120" t="s">
        <v>15</v>
      </c>
      <c r="I120" t="s">
        <v>16</v>
      </c>
      <c r="J120" t="s">
        <v>499</v>
      </c>
    </row>
    <row r="121" spans="1:12">
      <c r="B121">
        <v>26</v>
      </c>
      <c r="C121" t="s">
        <v>500</v>
      </c>
      <c r="D121" t="s">
        <v>501</v>
      </c>
      <c r="F121" t="s">
        <v>502</v>
      </c>
      <c r="H121" t="s">
        <v>21</v>
      </c>
      <c r="I121" t="s">
        <v>16</v>
      </c>
      <c r="J121" t="s">
        <v>503</v>
      </c>
      <c r="K121" t="str">
        <f>"01320908662"</f>
        <v>0</v>
      </c>
      <c r="L121" t="s">
        <v>23</v>
      </c>
    </row>
    <row r="122" spans="1:12">
      <c r="B122">
        <v>26</v>
      </c>
      <c r="C122" t="s">
        <v>504</v>
      </c>
      <c r="D122" t="s">
        <v>505</v>
      </c>
      <c r="F122" t="s">
        <v>214</v>
      </c>
      <c r="H122" t="s">
        <v>27</v>
      </c>
      <c r="I122" t="s">
        <v>16</v>
      </c>
      <c r="J122" t="s">
        <v>506</v>
      </c>
      <c r="K122" t="str">
        <f>"01300375812"</f>
        <v>0</v>
      </c>
      <c r="L122" t="s">
        <v>491</v>
      </c>
    </row>
    <row r="123" spans="1:12">
      <c r="B123">
        <v>26</v>
      </c>
      <c r="C123" t="s">
        <v>507</v>
      </c>
      <c r="D123" t="s">
        <v>508</v>
      </c>
      <c r="F123" t="s">
        <v>509</v>
      </c>
      <c r="H123" t="s">
        <v>36</v>
      </c>
      <c r="I123" t="s">
        <v>16</v>
      </c>
      <c r="J123" t="s">
        <v>510</v>
      </c>
      <c r="L123" t="s">
        <v>44</v>
      </c>
    </row>
    <row r="124" spans="1:12">
      <c r="B124">
        <v>26</v>
      </c>
      <c r="C124" t="s">
        <v>511</v>
      </c>
      <c r="D124" t="s">
        <v>512</v>
      </c>
      <c r="F124" t="s">
        <v>513</v>
      </c>
      <c r="H124" t="s">
        <v>42</v>
      </c>
      <c r="I124" t="s">
        <v>16</v>
      </c>
      <c r="J124" t="s">
        <v>514</v>
      </c>
      <c r="K124" t="str">
        <f>"01732248654"</f>
        <v>0</v>
      </c>
      <c r="L124" t="s">
        <v>53</v>
      </c>
    </row>
    <row r="125" spans="1:12">
      <c r="B125">
        <v>27</v>
      </c>
      <c r="C125" t="s">
        <v>515</v>
      </c>
      <c r="D125" t="s">
        <v>516</v>
      </c>
      <c r="F125" t="s">
        <v>517</v>
      </c>
      <c r="H125" t="s">
        <v>15</v>
      </c>
      <c r="I125" t="s">
        <v>16</v>
      </c>
      <c r="J125" t="s">
        <v>518</v>
      </c>
    </row>
    <row r="126" spans="1:12">
      <c r="B126">
        <v>27</v>
      </c>
      <c r="C126" t="s">
        <v>519</v>
      </c>
      <c r="D126" t="s">
        <v>520</v>
      </c>
      <c r="F126" t="s">
        <v>521</v>
      </c>
      <c r="H126" t="s">
        <v>21</v>
      </c>
      <c r="I126" t="s">
        <v>16</v>
      </c>
      <c r="J126" t="s">
        <v>522</v>
      </c>
      <c r="K126" t="str">
        <f>"01714426127"</f>
        <v>0</v>
      </c>
      <c r="L126" t="s">
        <v>261</v>
      </c>
    </row>
    <row r="127" spans="1:12">
      <c r="B127">
        <v>27</v>
      </c>
      <c r="C127" t="s">
        <v>523</v>
      </c>
      <c r="D127" t="s">
        <v>524</v>
      </c>
      <c r="F127" t="s">
        <v>525</v>
      </c>
      <c r="H127" t="s">
        <v>27</v>
      </c>
      <c r="I127" t="s">
        <v>16</v>
      </c>
      <c r="J127" t="s">
        <v>526</v>
      </c>
      <c r="K127" t="str">
        <f>"017344677205"</f>
        <v>0</v>
      </c>
      <c r="L127" t="s">
        <v>491</v>
      </c>
    </row>
    <row r="128" spans="1:12">
      <c r="B128">
        <v>27</v>
      </c>
      <c r="C128" t="s">
        <v>527</v>
      </c>
      <c r="D128" t="s">
        <v>528</v>
      </c>
      <c r="F128" t="s">
        <v>529</v>
      </c>
      <c r="H128" t="s">
        <v>36</v>
      </c>
      <c r="I128" t="s">
        <v>16</v>
      </c>
      <c r="J128" t="s">
        <v>530</v>
      </c>
      <c r="K128" t="str">
        <f>"01776489638"</f>
        <v>0</v>
      </c>
      <c r="L128" t="s">
        <v>252</v>
      </c>
    </row>
    <row r="129" spans="1:12">
      <c r="B129">
        <v>27</v>
      </c>
      <c r="C129" t="s">
        <v>255</v>
      </c>
      <c r="D129" t="s">
        <v>531</v>
      </c>
      <c r="F129" t="s">
        <v>532</v>
      </c>
      <c r="H129" t="s">
        <v>42</v>
      </c>
      <c r="I129" t="s">
        <v>16</v>
      </c>
      <c r="J129" t="s">
        <v>533</v>
      </c>
      <c r="K129" t="str">
        <f>"01740343682"</f>
        <v>0</v>
      </c>
      <c r="L129" t="s">
        <v>534</v>
      </c>
    </row>
    <row r="130" spans="1:12">
      <c r="B130">
        <v>28</v>
      </c>
      <c r="C130" t="s">
        <v>535</v>
      </c>
      <c r="D130" t="s">
        <v>536</v>
      </c>
      <c r="F130" t="s">
        <v>537</v>
      </c>
      <c r="H130" t="s">
        <v>15</v>
      </c>
      <c r="I130" t="s">
        <v>16</v>
      </c>
      <c r="J130" t="s">
        <v>538</v>
      </c>
    </row>
    <row r="131" spans="1:12">
      <c r="B131">
        <v>28</v>
      </c>
      <c r="C131" t="s">
        <v>539</v>
      </c>
      <c r="D131" t="s">
        <v>50</v>
      </c>
      <c r="F131" t="s">
        <v>540</v>
      </c>
      <c r="H131" t="s">
        <v>21</v>
      </c>
      <c r="I131" t="s">
        <v>16</v>
      </c>
      <c r="J131" t="s">
        <v>132</v>
      </c>
      <c r="K131" t="str">
        <f>"01723620938"</f>
        <v>0</v>
      </c>
      <c r="L131" t="s">
        <v>282</v>
      </c>
    </row>
    <row r="132" spans="1:12">
      <c r="B132">
        <v>28</v>
      </c>
      <c r="C132" t="s">
        <v>541</v>
      </c>
      <c r="D132" t="s">
        <v>542</v>
      </c>
      <c r="F132" t="s">
        <v>543</v>
      </c>
      <c r="H132" t="s">
        <v>27</v>
      </c>
      <c r="I132" t="s">
        <v>16</v>
      </c>
      <c r="J132" t="s">
        <v>544</v>
      </c>
      <c r="K132" t="str">
        <f>"01748664756"</f>
        <v>0</v>
      </c>
      <c r="L132" t="s">
        <v>111</v>
      </c>
    </row>
    <row r="133" spans="1:12">
      <c r="B133">
        <v>28</v>
      </c>
      <c r="C133" t="s">
        <v>545</v>
      </c>
      <c r="D133" t="s">
        <v>546</v>
      </c>
      <c r="F133" t="s">
        <v>235</v>
      </c>
      <c r="H133" t="s">
        <v>36</v>
      </c>
      <c r="I133" t="s">
        <v>16</v>
      </c>
      <c r="J133" t="s">
        <v>547</v>
      </c>
      <c r="K133" t="str">
        <f>"01742627300"</f>
        <v>0</v>
      </c>
      <c r="L133" t="s">
        <v>44</v>
      </c>
    </row>
    <row r="134" spans="1:12">
      <c r="B134">
        <v>28</v>
      </c>
      <c r="C134" t="s">
        <v>548</v>
      </c>
      <c r="D134" t="s">
        <v>549</v>
      </c>
      <c r="F134" t="s">
        <v>550</v>
      </c>
      <c r="H134" t="s">
        <v>42</v>
      </c>
      <c r="I134" t="s">
        <v>16</v>
      </c>
      <c r="J134" t="s">
        <v>551</v>
      </c>
      <c r="K134" t="str">
        <f>"01759232856"</f>
        <v>0</v>
      </c>
      <c r="L134" t="s">
        <v>38</v>
      </c>
    </row>
    <row r="135" spans="1:12">
      <c r="B135">
        <v>29</v>
      </c>
      <c r="C135" t="s">
        <v>552</v>
      </c>
      <c r="D135" t="s">
        <v>553</v>
      </c>
      <c r="F135" t="s">
        <v>554</v>
      </c>
      <c r="H135" t="s">
        <v>15</v>
      </c>
      <c r="I135" t="s">
        <v>16</v>
      </c>
      <c r="J135" t="s">
        <v>555</v>
      </c>
    </row>
    <row r="136" spans="1:12">
      <c r="B136">
        <v>29</v>
      </c>
      <c r="C136" t="s">
        <v>556</v>
      </c>
      <c r="D136" t="s">
        <v>557</v>
      </c>
      <c r="F136" t="s">
        <v>558</v>
      </c>
      <c r="H136" t="s">
        <v>21</v>
      </c>
      <c r="I136" t="s">
        <v>16</v>
      </c>
      <c r="J136" t="s">
        <v>559</v>
      </c>
      <c r="K136" t="str">
        <f>"01746671831"</f>
        <v>0</v>
      </c>
      <c r="L136" t="s">
        <v>303</v>
      </c>
    </row>
    <row r="137" spans="1:12">
      <c r="B137">
        <v>29</v>
      </c>
      <c r="C137" t="s">
        <v>560</v>
      </c>
      <c r="D137" t="s">
        <v>561</v>
      </c>
      <c r="F137" t="s">
        <v>562</v>
      </c>
      <c r="H137" t="s">
        <v>27</v>
      </c>
      <c r="I137" t="s">
        <v>16</v>
      </c>
      <c r="J137" t="s">
        <v>563</v>
      </c>
      <c r="K137" t="str">
        <f>"01705137640"</f>
        <v>0</v>
      </c>
      <c r="L137" t="s">
        <v>29</v>
      </c>
    </row>
    <row r="138" spans="1:12">
      <c r="B138">
        <v>29</v>
      </c>
      <c r="C138" t="s">
        <v>564</v>
      </c>
      <c r="D138" t="s">
        <v>565</v>
      </c>
      <c r="F138" t="s">
        <v>566</v>
      </c>
      <c r="H138" t="s">
        <v>36</v>
      </c>
      <c r="I138" t="s">
        <v>16</v>
      </c>
      <c r="J138" t="s">
        <v>567</v>
      </c>
      <c r="K138" t="str">
        <f>"01825482679"</f>
        <v>0</v>
      </c>
      <c r="L138" t="s">
        <v>312</v>
      </c>
    </row>
    <row r="139" spans="1:12">
      <c r="B139">
        <v>29</v>
      </c>
      <c r="C139" t="s">
        <v>568</v>
      </c>
      <c r="D139" t="s">
        <v>569</v>
      </c>
      <c r="F139" t="s">
        <v>570</v>
      </c>
      <c r="H139" t="s">
        <v>42</v>
      </c>
      <c r="I139" t="s">
        <v>16</v>
      </c>
      <c r="J139" t="s">
        <v>571</v>
      </c>
      <c r="K139" t="str">
        <f>"01716387320"</f>
        <v>0</v>
      </c>
      <c r="L139" t="s">
        <v>252</v>
      </c>
    </row>
    <row r="140" spans="1:12">
      <c r="B140">
        <v>30</v>
      </c>
      <c r="C140" t="s">
        <v>572</v>
      </c>
      <c r="D140" t="s">
        <v>573</v>
      </c>
      <c r="F140" t="s">
        <v>574</v>
      </c>
      <c r="H140" t="s">
        <v>15</v>
      </c>
      <c r="I140" t="s">
        <v>16</v>
      </c>
      <c r="J140" t="s">
        <v>575</v>
      </c>
    </row>
    <row r="141" spans="1:12">
      <c r="B141">
        <v>30</v>
      </c>
      <c r="C141" t="s">
        <v>576</v>
      </c>
      <c r="D141" t="s">
        <v>577</v>
      </c>
      <c r="F141" t="s">
        <v>578</v>
      </c>
      <c r="H141" t="s">
        <v>21</v>
      </c>
      <c r="I141" t="s">
        <v>16</v>
      </c>
      <c r="J141" t="s">
        <v>579</v>
      </c>
      <c r="K141" t="str">
        <f>"01749644656"</f>
        <v>0</v>
      </c>
      <c r="L141" t="s">
        <v>580</v>
      </c>
    </row>
    <row r="142" spans="1:12">
      <c r="B142">
        <v>30</v>
      </c>
      <c r="C142" t="s">
        <v>581</v>
      </c>
      <c r="D142" t="s">
        <v>582</v>
      </c>
      <c r="F142" t="s">
        <v>583</v>
      </c>
      <c r="H142" t="s">
        <v>27</v>
      </c>
      <c r="I142" t="s">
        <v>16</v>
      </c>
      <c r="J142" t="s">
        <v>584</v>
      </c>
      <c r="K142" t="str">
        <f>"01746728965"</f>
        <v>0</v>
      </c>
      <c r="L142" t="s">
        <v>111</v>
      </c>
    </row>
    <row r="143" spans="1:12">
      <c r="B143">
        <v>30</v>
      </c>
      <c r="C143" t="s">
        <v>585</v>
      </c>
      <c r="D143" t="s">
        <v>586</v>
      </c>
      <c r="F143" t="s">
        <v>587</v>
      </c>
      <c r="H143" t="s">
        <v>36</v>
      </c>
      <c r="I143" t="s">
        <v>16</v>
      </c>
      <c r="J143" t="s">
        <v>588</v>
      </c>
      <c r="L143" t="s">
        <v>29</v>
      </c>
    </row>
    <row r="144" spans="1:12">
      <c r="B144">
        <v>30</v>
      </c>
      <c r="C144" t="s">
        <v>589</v>
      </c>
      <c r="D144" t="s">
        <v>590</v>
      </c>
      <c r="F144" t="s">
        <v>591</v>
      </c>
      <c r="H144" t="s">
        <v>42</v>
      </c>
      <c r="I144" t="s">
        <v>16</v>
      </c>
      <c r="J144" t="s">
        <v>592</v>
      </c>
      <c r="K144" t="str">
        <f>"01747917514"</f>
        <v>0</v>
      </c>
      <c r="L144" t="s">
        <v>53</v>
      </c>
    </row>
    <row r="145" spans="1:12">
      <c r="B145">
        <v>31</v>
      </c>
      <c r="C145" t="s">
        <v>216</v>
      </c>
      <c r="D145" t="s">
        <v>593</v>
      </c>
      <c r="F145" t="s">
        <v>594</v>
      </c>
      <c r="H145" t="s">
        <v>21</v>
      </c>
      <c r="I145" t="s">
        <v>16</v>
      </c>
      <c r="J145" t="s">
        <v>595</v>
      </c>
      <c r="K145" t="str">
        <f>"01320966891"</f>
        <v>0</v>
      </c>
    </row>
    <row r="146" spans="1:12">
      <c r="B146">
        <v>31</v>
      </c>
      <c r="C146" t="s">
        <v>596</v>
      </c>
      <c r="D146" t="s">
        <v>597</v>
      </c>
      <c r="F146" t="s">
        <v>598</v>
      </c>
      <c r="H146" t="s">
        <v>27</v>
      </c>
      <c r="I146" t="s">
        <v>16</v>
      </c>
      <c r="J146" t="s">
        <v>599</v>
      </c>
      <c r="K146" t="str">
        <f>"01712358672"</f>
        <v>0</v>
      </c>
      <c r="L146" t="s">
        <v>111</v>
      </c>
    </row>
    <row r="147" spans="1:12">
      <c r="B147">
        <v>31</v>
      </c>
      <c r="C147" t="s">
        <v>600</v>
      </c>
      <c r="D147" t="s">
        <v>601</v>
      </c>
      <c r="F147" t="s">
        <v>602</v>
      </c>
      <c r="H147" t="s">
        <v>36</v>
      </c>
      <c r="I147" t="s">
        <v>16</v>
      </c>
      <c r="J147" t="s">
        <v>603</v>
      </c>
      <c r="K147" t="str">
        <f>"01746496412"</f>
        <v>0</v>
      </c>
      <c r="L147" t="s">
        <v>53</v>
      </c>
    </row>
    <row r="148" spans="1:12">
      <c r="B148">
        <v>31</v>
      </c>
      <c r="C148" t="s">
        <v>604</v>
      </c>
      <c r="D148" t="s">
        <v>577</v>
      </c>
      <c r="F148" t="s">
        <v>605</v>
      </c>
      <c r="H148" t="s">
        <v>42</v>
      </c>
      <c r="I148" t="s">
        <v>16</v>
      </c>
      <c r="J148" t="s">
        <v>606</v>
      </c>
      <c r="K148" t="str">
        <f>"01736054069"</f>
        <v>0</v>
      </c>
      <c r="L148" t="s">
        <v>53</v>
      </c>
    </row>
    <row r="149" spans="1:12">
      <c r="B149">
        <v>32</v>
      </c>
      <c r="C149" t="s">
        <v>607</v>
      </c>
      <c r="D149" t="s">
        <v>608</v>
      </c>
      <c r="F149" t="s">
        <v>609</v>
      </c>
      <c r="H149" t="s">
        <v>27</v>
      </c>
      <c r="I149" t="s">
        <v>16</v>
      </c>
      <c r="J149" t="s">
        <v>610</v>
      </c>
      <c r="K149" t="str">
        <f>"01307600812"</f>
        <v>0</v>
      </c>
      <c r="L149" t="s">
        <v>252</v>
      </c>
    </row>
    <row r="150" spans="1:12">
      <c r="B150">
        <v>32</v>
      </c>
      <c r="C150" t="s">
        <v>611</v>
      </c>
      <c r="D150" t="s">
        <v>612</v>
      </c>
      <c r="F150" t="s">
        <v>613</v>
      </c>
      <c r="H150" t="s">
        <v>36</v>
      </c>
      <c r="I150" t="s">
        <v>16</v>
      </c>
      <c r="J150" t="s">
        <v>614</v>
      </c>
      <c r="K150" t="str">
        <f>"01726058665"</f>
        <v>0</v>
      </c>
      <c r="L150" t="s">
        <v>615</v>
      </c>
    </row>
    <row r="151" spans="1:12">
      <c r="B151">
        <v>32</v>
      </c>
      <c r="C151" t="s">
        <v>616</v>
      </c>
      <c r="D151" t="s">
        <v>617</v>
      </c>
      <c r="F151" t="s">
        <v>618</v>
      </c>
      <c r="H151" t="s">
        <v>42</v>
      </c>
      <c r="I151" t="s">
        <v>16</v>
      </c>
      <c r="J151" t="s">
        <v>311</v>
      </c>
      <c r="K151" t="str">
        <f>"01321683959"</f>
        <v>0</v>
      </c>
      <c r="L151" t="s">
        <v>44</v>
      </c>
    </row>
    <row r="152" spans="1:12">
      <c r="B152">
        <v>33</v>
      </c>
      <c r="C152" t="s">
        <v>619</v>
      </c>
      <c r="D152" t="s">
        <v>620</v>
      </c>
      <c r="F152" t="s">
        <v>621</v>
      </c>
      <c r="H152" t="s">
        <v>21</v>
      </c>
      <c r="I152" t="s">
        <v>16</v>
      </c>
      <c r="J152" t="s">
        <v>622</v>
      </c>
      <c r="K152" t="str">
        <f>"01706427229"</f>
        <v>0</v>
      </c>
      <c r="L152" t="s">
        <v>322</v>
      </c>
    </row>
    <row r="153" spans="1:12">
      <c r="B153">
        <v>33</v>
      </c>
      <c r="C153" t="s">
        <v>623</v>
      </c>
      <c r="D153" t="s">
        <v>624</v>
      </c>
      <c r="F153" t="s">
        <v>625</v>
      </c>
      <c r="H153" t="s">
        <v>27</v>
      </c>
      <c r="I153" t="s">
        <v>16</v>
      </c>
      <c r="J153" t="s">
        <v>626</v>
      </c>
      <c r="K153" t="str">
        <f>"01714457431"</f>
        <v>0</v>
      </c>
      <c r="L153" t="s">
        <v>252</v>
      </c>
    </row>
    <row r="154" spans="1:12">
      <c r="B154">
        <v>33</v>
      </c>
      <c r="C154" t="s">
        <v>577</v>
      </c>
      <c r="D154" t="s">
        <v>627</v>
      </c>
      <c r="F154" t="s">
        <v>628</v>
      </c>
      <c r="H154" t="s">
        <v>36</v>
      </c>
      <c r="I154" t="s">
        <v>16</v>
      </c>
      <c r="J154" t="s">
        <v>629</v>
      </c>
      <c r="K154" t="str">
        <f>"01781608965"</f>
        <v>0</v>
      </c>
      <c r="L154" t="s">
        <v>102</v>
      </c>
    </row>
    <row r="155" spans="1:12">
      <c r="B155">
        <v>33</v>
      </c>
      <c r="C155" t="s">
        <v>630</v>
      </c>
      <c r="D155" t="s">
        <v>249</v>
      </c>
      <c r="F155" t="s">
        <v>250</v>
      </c>
      <c r="H155" t="s">
        <v>42</v>
      </c>
      <c r="I155" t="s">
        <v>16</v>
      </c>
      <c r="J155" t="s">
        <v>251</v>
      </c>
      <c r="K155" t="str">
        <f>"01715861755"</f>
        <v>0</v>
      </c>
      <c r="L155" t="s">
        <v>252</v>
      </c>
    </row>
    <row r="156" spans="1:12">
      <c r="B156">
        <v>34</v>
      </c>
      <c r="C156" t="s">
        <v>631</v>
      </c>
      <c r="D156" t="s">
        <v>632</v>
      </c>
      <c r="F156" t="s">
        <v>633</v>
      </c>
      <c r="H156" t="s">
        <v>21</v>
      </c>
      <c r="I156" t="s">
        <v>16</v>
      </c>
      <c r="J156" t="s">
        <v>634</v>
      </c>
      <c r="L156" t="s">
        <v>635</v>
      </c>
    </row>
    <row r="157" spans="1:12">
      <c r="B157">
        <v>34</v>
      </c>
      <c r="C157" t="s">
        <v>636</v>
      </c>
      <c r="D157" t="s">
        <v>637</v>
      </c>
      <c r="F157" t="s">
        <v>638</v>
      </c>
      <c r="H157" t="s">
        <v>27</v>
      </c>
      <c r="I157" t="s">
        <v>16</v>
      </c>
      <c r="J157" t="s">
        <v>639</v>
      </c>
      <c r="K157" t="str">
        <f>"01734605328"</f>
        <v>0</v>
      </c>
      <c r="L157" t="s">
        <v>312</v>
      </c>
    </row>
    <row r="158" spans="1:12">
      <c r="B158">
        <v>34</v>
      </c>
      <c r="C158" t="s">
        <v>640</v>
      </c>
      <c r="D158" t="s">
        <v>641</v>
      </c>
      <c r="F158" t="s">
        <v>642</v>
      </c>
      <c r="H158" t="s">
        <v>36</v>
      </c>
      <c r="I158" t="s">
        <v>16</v>
      </c>
      <c r="J158" t="s">
        <v>643</v>
      </c>
      <c r="K158" t="str">
        <f>"01710490241"</f>
        <v>0</v>
      </c>
      <c r="L158" t="s">
        <v>29</v>
      </c>
    </row>
    <row r="159" spans="1:12">
      <c r="B159">
        <v>34</v>
      </c>
      <c r="C159" t="s">
        <v>644</v>
      </c>
      <c r="D159" t="s">
        <v>645</v>
      </c>
      <c r="F159" t="s">
        <v>646</v>
      </c>
      <c r="H159" t="s">
        <v>42</v>
      </c>
      <c r="I159" t="s">
        <v>16</v>
      </c>
      <c r="J159" t="s">
        <v>647</v>
      </c>
      <c r="K159" t="str">
        <f>"01724882898"</f>
        <v>0</v>
      </c>
      <c r="L159" t="s">
        <v>29</v>
      </c>
    </row>
    <row r="160" spans="1:12">
      <c r="B160">
        <v>35</v>
      </c>
      <c r="C160" t="s">
        <v>648</v>
      </c>
      <c r="D160" t="s">
        <v>649</v>
      </c>
      <c r="F160" t="s">
        <v>650</v>
      </c>
      <c r="H160" t="s">
        <v>27</v>
      </c>
      <c r="I160" t="s">
        <v>16</v>
      </c>
      <c r="J160" t="s">
        <v>651</v>
      </c>
      <c r="L160" t="s">
        <v>102</v>
      </c>
    </row>
    <row r="161" spans="1:12">
      <c r="B161">
        <v>35</v>
      </c>
      <c r="C161" t="s">
        <v>652</v>
      </c>
      <c r="D161" t="s">
        <v>653</v>
      </c>
      <c r="F161" t="s">
        <v>654</v>
      </c>
      <c r="H161" t="s">
        <v>36</v>
      </c>
      <c r="I161" t="s">
        <v>16</v>
      </c>
      <c r="J161" t="s">
        <v>655</v>
      </c>
      <c r="K161" t="str">
        <f>"01790689624"</f>
        <v>0</v>
      </c>
      <c r="L161" t="s">
        <v>29</v>
      </c>
    </row>
    <row r="162" spans="1:12">
      <c r="B162">
        <v>35</v>
      </c>
      <c r="C162" t="s">
        <v>656</v>
      </c>
      <c r="D162" t="s">
        <v>657</v>
      </c>
      <c r="F162" t="s">
        <v>658</v>
      </c>
      <c r="H162" t="s">
        <v>42</v>
      </c>
      <c r="I162" t="s">
        <v>16</v>
      </c>
      <c r="J162" t="s">
        <v>659</v>
      </c>
      <c r="K162" t="str">
        <f>"01792896532"</f>
        <v>0</v>
      </c>
      <c r="L162" t="s">
        <v>29</v>
      </c>
    </row>
    <row r="163" spans="1:12">
      <c r="B163">
        <v>36</v>
      </c>
      <c r="C163" t="s">
        <v>660</v>
      </c>
      <c r="D163" t="s">
        <v>661</v>
      </c>
      <c r="F163" t="s">
        <v>662</v>
      </c>
      <c r="H163" t="s">
        <v>27</v>
      </c>
      <c r="I163" t="s">
        <v>16</v>
      </c>
      <c r="J163" t="s">
        <v>663</v>
      </c>
      <c r="K163" t="str">
        <f>"01333530078"</f>
        <v>0</v>
      </c>
      <c r="L163" t="s">
        <v>53</v>
      </c>
    </row>
    <row r="164" spans="1:12">
      <c r="B164">
        <v>36</v>
      </c>
      <c r="C164" t="s">
        <v>664</v>
      </c>
      <c r="D164" t="s">
        <v>665</v>
      </c>
      <c r="F164" t="s">
        <v>666</v>
      </c>
      <c r="H164" t="s">
        <v>36</v>
      </c>
      <c r="I164" t="s">
        <v>16</v>
      </c>
      <c r="J164" t="s">
        <v>667</v>
      </c>
      <c r="K164" t="str">
        <f>"01762554169"</f>
        <v>0</v>
      </c>
      <c r="L164" t="s">
        <v>102</v>
      </c>
    </row>
    <row r="165" spans="1:12">
      <c r="B165">
        <v>36</v>
      </c>
      <c r="C165" t="s">
        <v>668</v>
      </c>
      <c r="D165" t="s">
        <v>669</v>
      </c>
      <c r="F165" t="s">
        <v>670</v>
      </c>
      <c r="H165" t="s">
        <v>42</v>
      </c>
      <c r="I165" t="s">
        <v>16</v>
      </c>
      <c r="J165" t="s">
        <v>671</v>
      </c>
      <c r="K165" t="str">
        <f>"01720910194"</f>
        <v>0</v>
      </c>
      <c r="L165" t="s">
        <v>317</v>
      </c>
    </row>
    <row r="166" spans="1:12">
      <c r="B166">
        <v>37</v>
      </c>
      <c r="C166" t="s">
        <v>672</v>
      </c>
      <c r="D166" t="s">
        <v>673</v>
      </c>
      <c r="F166" t="s">
        <v>674</v>
      </c>
      <c r="H166" t="s">
        <v>42</v>
      </c>
      <c r="I166" t="s">
        <v>16</v>
      </c>
      <c r="J166" t="s">
        <v>675</v>
      </c>
    </row>
    <row r="167" spans="1:12">
      <c r="B167">
        <v>37</v>
      </c>
      <c r="C167" t="s">
        <v>676</v>
      </c>
      <c r="D167" t="s">
        <v>677</v>
      </c>
      <c r="F167" t="s">
        <v>678</v>
      </c>
      <c r="H167" t="s">
        <v>27</v>
      </c>
      <c r="I167" t="s">
        <v>16</v>
      </c>
      <c r="J167" t="s">
        <v>679</v>
      </c>
      <c r="K167" t="str">
        <f>"01710186581"</f>
        <v>0</v>
      </c>
      <c r="L167" t="s">
        <v>680</v>
      </c>
    </row>
    <row r="168" spans="1:12">
      <c r="B168">
        <v>37</v>
      </c>
      <c r="C168" t="s">
        <v>681</v>
      </c>
      <c r="D168" t="s">
        <v>682</v>
      </c>
      <c r="F168" t="s">
        <v>683</v>
      </c>
      <c r="H168" t="s">
        <v>36</v>
      </c>
      <c r="I168" t="s">
        <v>16</v>
      </c>
      <c r="J168" t="s">
        <v>684</v>
      </c>
      <c r="K168" t="str">
        <f>"01776493899"</f>
        <v>0</v>
      </c>
      <c r="L168" t="s">
        <v>312</v>
      </c>
    </row>
    <row r="169" spans="1:12">
      <c r="B169">
        <v>38</v>
      </c>
      <c r="C169" t="s">
        <v>313</v>
      </c>
      <c r="D169" t="s">
        <v>685</v>
      </c>
      <c r="F169" t="s">
        <v>686</v>
      </c>
      <c r="H169" t="s">
        <v>42</v>
      </c>
      <c r="I169" t="s">
        <v>16</v>
      </c>
      <c r="J169" t="s">
        <v>687</v>
      </c>
      <c r="K169" t="str">
        <f>"01736708113"</f>
        <v>0</v>
      </c>
      <c r="L169" t="s">
        <v>149</v>
      </c>
    </row>
    <row r="170" spans="1:12">
      <c r="B170">
        <v>38</v>
      </c>
      <c r="C170" t="s">
        <v>688</v>
      </c>
      <c r="D170" t="s">
        <v>689</v>
      </c>
      <c r="F170" t="s">
        <v>374</v>
      </c>
      <c r="H170" t="s">
        <v>21</v>
      </c>
      <c r="I170" t="s">
        <v>16</v>
      </c>
      <c r="J170" t="s">
        <v>690</v>
      </c>
      <c r="K170" t="str">
        <f>"01314652621"</f>
        <v>0</v>
      </c>
      <c r="L170" t="s">
        <v>343</v>
      </c>
    </row>
    <row r="171" spans="1:12">
      <c r="B171">
        <v>38</v>
      </c>
      <c r="C171" t="s">
        <v>691</v>
      </c>
      <c r="D171" t="s">
        <v>692</v>
      </c>
      <c r="F171" t="s">
        <v>693</v>
      </c>
      <c r="H171" t="s">
        <v>27</v>
      </c>
      <c r="I171" t="s">
        <v>16</v>
      </c>
      <c r="J171" t="s">
        <v>694</v>
      </c>
      <c r="K171" t="str">
        <f>"01764037181"</f>
        <v>0</v>
      </c>
      <c r="L171" t="s">
        <v>29</v>
      </c>
    </row>
    <row r="172" spans="1:12">
      <c r="B172">
        <v>38</v>
      </c>
      <c r="C172" t="s">
        <v>695</v>
      </c>
      <c r="D172" t="s">
        <v>696</v>
      </c>
      <c r="F172" t="s">
        <v>697</v>
      </c>
      <c r="H172" t="s">
        <v>36</v>
      </c>
      <c r="I172" t="s">
        <v>16</v>
      </c>
      <c r="J172" t="s">
        <v>698</v>
      </c>
      <c r="K172" t="str">
        <f>"01733708350"</f>
        <v>0</v>
      </c>
      <c r="L172" t="s">
        <v>29</v>
      </c>
    </row>
    <row r="173" spans="1:12">
      <c r="B173">
        <v>39</v>
      </c>
      <c r="C173" t="s">
        <v>699</v>
      </c>
      <c r="D173" t="s">
        <v>700</v>
      </c>
      <c r="F173" t="s">
        <v>701</v>
      </c>
      <c r="H173" t="s">
        <v>42</v>
      </c>
      <c r="I173" t="s">
        <v>16</v>
      </c>
      <c r="J173" t="s">
        <v>702</v>
      </c>
      <c r="K173" t="str">
        <f>"017733633996"</f>
        <v>0</v>
      </c>
      <c r="L173" t="s">
        <v>111</v>
      </c>
    </row>
    <row r="174" spans="1:12">
      <c r="B174">
        <v>39</v>
      </c>
      <c r="C174" t="s">
        <v>703</v>
      </c>
      <c r="D174" t="s">
        <v>704</v>
      </c>
      <c r="F174" t="s">
        <v>705</v>
      </c>
      <c r="H174" t="s">
        <v>21</v>
      </c>
      <c r="I174" t="s">
        <v>16</v>
      </c>
      <c r="J174" t="s">
        <v>706</v>
      </c>
      <c r="K174" t="str">
        <f>"01320806608"</f>
        <v>0</v>
      </c>
      <c r="L174" t="s">
        <v>44</v>
      </c>
    </row>
    <row r="175" spans="1:12">
      <c r="B175">
        <v>39</v>
      </c>
      <c r="C175" t="s">
        <v>707</v>
      </c>
      <c r="D175" t="s">
        <v>708</v>
      </c>
      <c r="F175" t="s">
        <v>709</v>
      </c>
      <c r="H175" t="s">
        <v>27</v>
      </c>
      <c r="I175" t="s">
        <v>16</v>
      </c>
      <c r="J175" t="s">
        <v>710</v>
      </c>
      <c r="K175" t="str">
        <f>"01722014864"</f>
        <v>0</v>
      </c>
      <c r="L175" t="s">
        <v>312</v>
      </c>
    </row>
    <row r="176" spans="1:12">
      <c r="B176">
        <v>39</v>
      </c>
      <c r="C176" t="s">
        <v>711</v>
      </c>
      <c r="D176" t="s">
        <v>452</v>
      </c>
      <c r="F176" t="s">
        <v>453</v>
      </c>
      <c r="H176" t="s">
        <v>36</v>
      </c>
      <c r="I176" t="s">
        <v>16</v>
      </c>
      <c r="J176" t="s">
        <v>454</v>
      </c>
      <c r="K176" t="str">
        <f>"01776063832"</f>
        <v>0</v>
      </c>
      <c r="L176" t="s">
        <v>29</v>
      </c>
    </row>
    <row r="177" spans="1:12">
      <c r="B177">
        <v>40</v>
      </c>
      <c r="C177" t="s">
        <v>712</v>
      </c>
      <c r="D177" t="s">
        <v>201</v>
      </c>
      <c r="F177" t="s">
        <v>713</v>
      </c>
      <c r="H177" t="s">
        <v>42</v>
      </c>
      <c r="I177" t="s">
        <v>16</v>
      </c>
      <c r="J177" t="s">
        <v>714</v>
      </c>
      <c r="K177" t="str">
        <f>"01777320377"</f>
        <v>0</v>
      </c>
      <c r="L177" t="s">
        <v>149</v>
      </c>
    </row>
    <row r="178" spans="1:12">
      <c r="B178">
        <v>40</v>
      </c>
      <c r="C178" t="s">
        <v>715</v>
      </c>
      <c r="D178" t="s">
        <v>716</v>
      </c>
      <c r="F178" t="s">
        <v>717</v>
      </c>
      <c r="H178" t="s">
        <v>27</v>
      </c>
      <c r="I178" t="s">
        <v>16</v>
      </c>
      <c r="J178" t="s">
        <v>718</v>
      </c>
      <c r="K178" t="str">
        <f>"01709412695"</f>
        <v>0</v>
      </c>
      <c r="L178" t="s">
        <v>53</v>
      </c>
    </row>
    <row r="179" spans="1:12">
      <c r="B179">
        <v>40</v>
      </c>
      <c r="C179" t="s">
        <v>719</v>
      </c>
      <c r="D179" t="s">
        <v>720</v>
      </c>
      <c r="F179" t="s">
        <v>721</v>
      </c>
      <c r="H179" t="s">
        <v>36</v>
      </c>
      <c r="I179" t="s">
        <v>16</v>
      </c>
      <c r="J179" t="s">
        <v>722</v>
      </c>
      <c r="K179" t="str">
        <f>"01310674100"</f>
        <v>0</v>
      </c>
      <c r="L179" t="s">
        <v>491</v>
      </c>
    </row>
    <row r="180" spans="1:12">
      <c r="B180">
        <v>41</v>
      </c>
      <c r="C180" t="s">
        <v>723</v>
      </c>
      <c r="D180" t="s">
        <v>724</v>
      </c>
      <c r="F180" t="s">
        <v>642</v>
      </c>
      <c r="H180" t="s">
        <v>42</v>
      </c>
      <c r="I180" t="s">
        <v>16</v>
      </c>
      <c r="J180" t="s">
        <v>725</v>
      </c>
      <c r="K180" t="str">
        <f>"01713816893"</f>
        <v>0</v>
      </c>
      <c r="L180" t="s">
        <v>312</v>
      </c>
    </row>
    <row r="181" spans="1:12">
      <c r="B181">
        <v>41</v>
      </c>
      <c r="C181" t="s">
        <v>726</v>
      </c>
      <c r="D181" t="s">
        <v>727</v>
      </c>
      <c r="F181" t="s">
        <v>728</v>
      </c>
      <c r="H181" t="s">
        <v>27</v>
      </c>
      <c r="I181" t="s">
        <v>16</v>
      </c>
      <c r="J181" t="s">
        <v>729</v>
      </c>
      <c r="K181" t="str">
        <f>"01322183930"</f>
        <v>0</v>
      </c>
      <c r="L181" t="s">
        <v>29</v>
      </c>
    </row>
    <row r="182" spans="1:12">
      <c r="B182">
        <v>41</v>
      </c>
      <c r="C182" t="s">
        <v>730</v>
      </c>
      <c r="D182" t="s">
        <v>731</v>
      </c>
      <c r="F182" t="s">
        <v>732</v>
      </c>
      <c r="H182" t="s">
        <v>36</v>
      </c>
      <c r="I182" t="s">
        <v>16</v>
      </c>
      <c r="J182" t="s">
        <v>733</v>
      </c>
      <c r="K182" t="str">
        <f>"01734763247"</f>
        <v>0</v>
      </c>
      <c r="L182" t="s">
        <v>29</v>
      </c>
    </row>
    <row r="183" spans="1:12">
      <c r="B183">
        <v>42</v>
      </c>
      <c r="C183" t="s">
        <v>734</v>
      </c>
      <c r="D183" t="s">
        <v>516</v>
      </c>
      <c r="F183" t="s">
        <v>735</v>
      </c>
      <c r="H183" t="s">
        <v>42</v>
      </c>
      <c r="I183" t="s">
        <v>16</v>
      </c>
      <c r="J183" t="s">
        <v>736</v>
      </c>
      <c r="K183" t="str">
        <f>"01775245302"</f>
        <v>0</v>
      </c>
      <c r="L183" t="s">
        <v>317</v>
      </c>
    </row>
    <row r="184" spans="1:12">
      <c r="B184">
        <v>42</v>
      </c>
      <c r="C184" t="s">
        <v>737</v>
      </c>
      <c r="D184" t="s">
        <v>738</v>
      </c>
      <c r="F184" t="s">
        <v>739</v>
      </c>
      <c r="H184" t="s">
        <v>21</v>
      </c>
      <c r="I184" t="s">
        <v>16</v>
      </c>
      <c r="J184" t="s">
        <v>740</v>
      </c>
      <c r="K184" t="str">
        <f>"01710891395"</f>
        <v>0</v>
      </c>
      <c r="L184" t="s">
        <v>741</v>
      </c>
    </row>
    <row r="185" spans="1:12">
      <c r="B185">
        <v>42</v>
      </c>
      <c r="C185" t="s">
        <v>742</v>
      </c>
      <c r="D185" t="s">
        <v>743</v>
      </c>
      <c r="F185" t="s">
        <v>744</v>
      </c>
      <c r="H185" t="s">
        <v>27</v>
      </c>
      <c r="I185" t="s">
        <v>16</v>
      </c>
      <c r="J185" t="s">
        <v>745</v>
      </c>
      <c r="K185" t="str">
        <f>"01712374399"</f>
        <v>0</v>
      </c>
      <c r="L185" t="s">
        <v>252</v>
      </c>
    </row>
    <row r="186" spans="1:12">
      <c r="B186">
        <v>42</v>
      </c>
      <c r="C186" t="s">
        <v>746</v>
      </c>
      <c r="D186" t="s">
        <v>747</v>
      </c>
      <c r="F186" t="s">
        <v>748</v>
      </c>
      <c r="H186" t="s">
        <v>36</v>
      </c>
      <c r="I186" t="s">
        <v>16</v>
      </c>
      <c r="J186" t="s">
        <v>749</v>
      </c>
      <c r="L186" t="s">
        <v>102</v>
      </c>
    </row>
    <row r="187" spans="1:12">
      <c r="B187">
        <v>43</v>
      </c>
      <c r="C187" t="s">
        <v>425</v>
      </c>
      <c r="D187" t="s">
        <v>750</v>
      </c>
      <c r="F187" t="s">
        <v>509</v>
      </c>
      <c r="H187" t="s">
        <v>42</v>
      </c>
      <c r="I187" t="s">
        <v>16</v>
      </c>
      <c r="J187" t="s">
        <v>751</v>
      </c>
      <c r="K187" t="str">
        <f>"01751601395"</f>
        <v>0</v>
      </c>
    </row>
    <row r="188" spans="1:12">
      <c r="B188">
        <v>43</v>
      </c>
      <c r="C188" t="s">
        <v>752</v>
      </c>
      <c r="D188" t="s">
        <v>753</v>
      </c>
      <c r="F188" t="s">
        <v>754</v>
      </c>
      <c r="H188" t="s">
        <v>21</v>
      </c>
      <c r="I188" t="s">
        <v>16</v>
      </c>
      <c r="J188" t="s">
        <v>755</v>
      </c>
      <c r="K188" t="str">
        <f>"01778614377"</f>
        <v>0</v>
      </c>
    </row>
    <row r="189" spans="1:12">
      <c r="B189">
        <v>43</v>
      </c>
      <c r="C189" t="s">
        <v>756</v>
      </c>
      <c r="D189" t="s">
        <v>757</v>
      </c>
      <c r="F189" t="s">
        <v>758</v>
      </c>
      <c r="H189" t="s">
        <v>27</v>
      </c>
      <c r="I189" t="s">
        <v>16</v>
      </c>
      <c r="J189" t="s">
        <v>759</v>
      </c>
      <c r="K189" t="str">
        <f>"01710891395"</f>
        <v>0</v>
      </c>
      <c r="L189" t="s">
        <v>88</v>
      </c>
    </row>
    <row r="190" spans="1:12">
      <c r="B190">
        <v>43</v>
      </c>
      <c r="C190" t="s">
        <v>760</v>
      </c>
      <c r="D190" t="s">
        <v>541</v>
      </c>
      <c r="F190" t="s">
        <v>761</v>
      </c>
      <c r="H190" t="s">
        <v>36</v>
      </c>
      <c r="I190" t="s">
        <v>16</v>
      </c>
      <c r="J190" t="s">
        <v>762</v>
      </c>
      <c r="K190" t="str">
        <f>"01718106711"</f>
        <v>0</v>
      </c>
    </row>
    <row r="191" spans="1:12">
      <c r="B191">
        <v>44</v>
      </c>
      <c r="C191" t="s">
        <v>763</v>
      </c>
      <c r="D191" t="s">
        <v>40</v>
      </c>
      <c r="F191" t="s">
        <v>764</v>
      </c>
      <c r="H191" t="s">
        <v>42</v>
      </c>
      <c r="I191" t="s">
        <v>16</v>
      </c>
      <c r="J191" t="s">
        <v>765</v>
      </c>
      <c r="K191" t="str">
        <f>"01787483173"</f>
        <v>0</v>
      </c>
      <c r="L191" t="s">
        <v>766</v>
      </c>
    </row>
    <row r="192" spans="1:12">
      <c r="B192">
        <v>44</v>
      </c>
      <c r="C192" t="s">
        <v>767</v>
      </c>
      <c r="D192" t="s">
        <v>59</v>
      </c>
      <c r="F192" t="s">
        <v>60</v>
      </c>
      <c r="H192" t="s">
        <v>21</v>
      </c>
      <c r="I192" t="s">
        <v>16</v>
      </c>
      <c r="J192" t="s">
        <v>768</v>
      </c>
      <c r="K192" t="str">
        <f>"01752371038"</f>
        <v>0</v>
      </c>
      <c r="L192" t="s">
        <v>74</v>
      </c>
    </row>
    <row r="193" spans="1:12">
      <c r="B193">
        <v>44</v>
      </c>
      <c r="C193" t="s">
        <v>418</v>
      </c>
      <c r="D193" t="s">
        <v>769</v>
      </c>
      <c r="F193" t="s">
        <v>770</v>
      </c>
      <c r="H193" t="s">
        <v>27</v>
      </c>
      <c r="I193" t="s">
        <v>16</v>
      </c>
      <c r="J193" t="s">
        <v>771</v>
      </c>
      <c r="K193" t="str">
        <f>"01787569958"</f>
        <v>0</v>
      </c>
      <c r="L193" t="s">
        <v>317</v>
      </c>
    </row>
    <row r="194" spans="1:12">
      <c r="B194">
        <v>44</v>
      </c>
      <c r="C194" t="s">
        <v>772</v>
      </c>
      <c r="D194" t="s">
        <v>773</v>
      </c>
      <c r="F194" t="s">
        <v>774</v>
      </c>
      <c r="H194" t="s">
        <v>36</v>
      </c>
      <c r="I194" t="s">
        <v>16</v>
      </c>
      <c r="J194" t="s">
        <v>775</v>
      </c>
      <c r="K194" t="str">
        <f>"01302252900"</f>
        <v>0</v>
      </c>
    </row>
    <row r="195" spans="1:12">
      <c r="B195">
        <v>45</v>
      </c>
      <c r="C195" t="s">
        <v>776</v>
      </c>
      <c r="D195" t="s">
        <v>777</v>
      </c>
      <c r="F195" t="s">
        <v>386</v>
      </c>
      <c r="H195" t="s">
        <v>42</v>
      </c>
      <c r="I195" t="s">
        <v>16</v>
      </c>
      <c r="J195" t="s">
        <v>778</v>
      </c>
      <c r="K195" t="str">
        <f>"01752523584"</f>
        <v>0</v>
      </c>
      <c r="L195" t="s">
        <v>44</v>
      </c>
    </row>
    <row r="196" spans="1:12">
      <c r="B196">
        <v>45</v>
      </c>
      <c r="C196" t="s">
        <v>779</v>
      </c>
      <c r="D196" t="s">
        <v>780</v>
      </c>
      <c r="F196" t="s">
        <v>781</v>
      </c>
      <c r="H196" t="s">
        <v>21</v>
      </c>
      <c r="I196" t="s">
        <v>16</v>
      </c>
      <c r="J196" t="s">
        <v>782</v>
      </c>
      <c r="K196" t="str">
        <f>"01732240785"</f>
        <v>0</v>
      </c>
      <c r="L196" t="s">
        <v>615</v>
      </c>
    </row>
    <row r="197" spans="1:12">
      <c r="B197">
        <v>45</v>
      </c>
      <c r="C197" t="s">
        <v>783</v>
      </c>
      <c r="D197" t="s">
        <v>784</v>
      </c>
      <c r="F197" t="s">
        <v>785</v>
      </c>
      <c r="H197" t="s">
        <v>27</v>
      </c>
      <c r="I197" t="s">
        <v>16</v>
      </c>
      <c r="J197" t="s">
        <v>786</v>
      </c>
      <c r="K197" t="str">
        <f>"01747917514"</f>
        <v>0</v>
      </c>
      <c r="L197" t="s">
        <v>53</v>
      </c>
    </row>
    <row r="198" spans="1:12">
      <c r="B198">
        <v>45</v>
      </c>
      <c r="C198" t="s">
        <v>787</v>
      </c>
      <c r="D198" t="s">
        <v>788</v>
      </c>
      <c r="F198" t="s">
        <v>789</v>
      </c>
      <c r="H198" t="s">
        <v>36</v>
      </c>
      <c r="I198" t="s">
        <v>16</v>
      </c>
      <c r="J198" t="s">
        <v>790</v>
      </c>
      <c r="K198" t="str">
        <f>"01833926435"</f>
        <v>0</v>
      </c>
    </row>
    <row r="199" spans="1:12">
      <c r="B199">
        <v>46</v>
      </c>
      <c r="C199" t="s">
        <v>791</v>
      </c>
      <c r="D199" t="s">
        <v>792</v>
      </c>
      <c r="F199" t="s">
        <v>235</v>
      </c>
      <c r="H199" t="s">
        <v>42</v>
      </c>
      <c r="I199" t="s">
        <v>16</v>
      </c>
      <c r="J199" t="s">
        <v>793</v>
      </c>
      <c r="L199" t="s">
        <v>312</v>
      </c>
    </row>
    <row r="200" spans="1:12">
      <c r="B200">
        <v>46</v>
      </c>
      <c r="C200" t="s">
        <v>794</v>
      </c>
      <c r="D200" t="s">
        <v>795</v>
      </c>
      <c r="F200" t="s">
        <v>796</v>
      </c>
      <c r="H200" t="s">
        <v>21</v>
      </c>
      <c r="I200" t="s">
        <v>16</v>
      </c>
      <c r="J200" t="s">
        <v>797</v>
      </c>
      <c r="K200" t="str">
        <f>"01704776341"</f>
        <v>0</v>
      </c>
    </row>
    <row r="201" spans="1:12">
      <c r="B201">
        <v>46</v>
      </c>
      <c r="C201" t="s">
        <v>798</v>
      </c>
      <c r="D201" t="s">
        <v>799</v>
      </c>
      <c r="F201" t="s">
        <v>800</v>
      </c>
      <c r="H201" t="s">
        <v>27</v>
      </c>
      <c r="I201" t="s">
        <v>16</v>
      </c>
      <c r="J201" t="s">
        <v>801</v>
      </c>
      <c r="K201" t="str">
        <f>"01744816387"</f>
        <v>0</v>
      </c>
    </row>
    <row r="202" spans="1:12">
      <c r="B202">
        <v>46</v>
      </c>
      <c r="C202" t="s">
        <v>802</v>
      </c>
      <c r="D202" t="s">
        <v>803</v>
      </c>
      <c r="F202" t="s">
        <v>804</v>
      </c>
      <c r="H202" t="s">
        <v>36</v>
      </c>
      <c r="I202" t="s">
        <v>16</v>
      </c>
      <c r="J202" t="s">
        <v>805</v>
      </c>
      <c r="K202" t="str">
        <f>"01745906974"</f>
        <v>0</v>
      </c>
    </row>
    <row r="203" spans="1:12">
      <c r="B203">
        <v>47</v>
      </c>
      <c r="C203" t="s">
        <v>806</v>
      </c>
      <c r="D203" t="s">
        <v>807</v>
      </c>
      <c r="F203" t="s">
        <v>808</v>
      </c>
      <c r="H203" t="s">
        <v>42</v>
      </c>
      <c r="I203" t="s">
        <v>16</v>
      </c>
      <c r="J203" t="s">
        <v>809</v>
      </c>
      <c r="K203" t="str">
        <f>"01787569969"</f>
        <v>0</v>
      </c>
      <c r="L203" t="s">
        <v>38</v>
      </c>
    </row>
    <row r="204" spans="1:12">
      <c r="B204">
        <v>47</v>
      </c>
      <c r="C204" t="s">
        <v>810</v>
      </c>
      <c r="D204" t="s">
        <v>811</v>
      </c>
      <c r="F204" t="s">
        <v>325</v>
      </c>
      <c r="H204" t="s">
        <v>27</v>
      </c>
      <c r="I204" t="s">
        <v>16</v>
      </c>
      <c r="J204" t="s">
        <v>812</v>
      </c>
      <c r="K204" t="str">
        <f>"01712913707"</f>
        <v>0</v>
      </c>
      <c r="L204" t="s">
        <v>312</v>
      </c>
    </row>
    <row r="205" spans="1:12">
      <c r="B205">
        <v>47</v>
      </c>
      <c r="C205" t="s">
        <v>813</v>
      </c>
      <c r="D205" t="s">
        <v>814</v>
      </c>
      <c r="F205" t="s">
        <v>815</v>
      </c>
      <c r="H205" t="s">
        <v>36</v>
      </c>
      <c r="I205" t="s">
        <v>16</v>
      </c>
      <c r="J205" t="s">
        <v>816</v>
      </c>
      <c r="K205" t="str">
        <f>"01713817768"</f>
        <v>0</v>
      </c>
    </row>
    <row r="206" spans="1:12">
      <c r="B206">
        <v>48</v>
      </c>
      <c r="C206" t="s">
        <v>817</v>
      </c>
      <c r="D206" t="s">
        <v>818</v>
      </c>
      <c r="F206" t="s">
        <v>819</v>
      </c>
      <c r="H206" t="s">
        <v>42</v>
      </c>
      <c r="I206" t="s">
        <v>16</v>
      </c>
      <c r="J206" t="s">
        <v>820</v>
      </c>
      <c r="K206" t="str">
        <f>"01751163776"</f>
        <v>0</v>
      </c>
      <c r="L206" t="s">
        <v>44</v>
      </c>
    </row>
    <row r="207" spans="1:12">
      <c r="B207">
        <v>48</v>
      </c>
      <c r="C207" t="s">
        <v>821</v>
      </c>
      <c r="D207" t="s">
        <v>822</v>
      </c>
      <c r="F207" t="s">
        <v>823</v>
      </c>
      <c r="H207" t="s">
        <v>27</v>
      </c>
      <c r="I207" t="s">
        <v>16</v>
      </c>
      <c r="J207" t="s">
        <v>824</v>
      </c>
      <c r="K207" t="str">
        <f>"01779855642"</f>
        <v>0</v>
      </c>
      <c r="L207" t="s">
        <v>312</v>
      </c>
    </row>
    <row r="208" spans="1:12">
      <c r="B208">
        <v>48</v>
      </c>
      <c r="C208" t="s">
        <v>825</v>
      </c>
      <c r="D208" t="s">
        <v>826</v>
      </c>
      <c r="F208" t="s">
        <v>827</v>
      </c>
      <c r="H208" t="s">
        <v>36</v>
      </c>
      <c r="I208" t="s">
        <v>16</v>
      </c>
      <c r="J208" t="s">
        <v>510</v>
      </c>
      <c r="K208" t="str">
        <f>"01753411337"</f>
        <v>0</v>
      </c>
    </row>
    <row r="209" spans="1:12">
      <c r="B209">
        <v>49</v>
      </c>
      <c r="C209" t="s">
        <v>828</v>
      </c>
      <c r="D209" t="s">
        <v>829</v>
      </c>
      <c r="F209" t="s">
        <v>830</v>
      </c>
      <c r="H209" t="s">
        <v>42</v>
      </c>
      <c r="I209" t="s">
        <v>16</v>
      </c>
      <c r="J209" t="s">
        <v>831</v>
      </c>
      <c r="K209" t="str">
        <f>"01739316741"</f>
        <v>0</v>
      </c>
      <c r="L209" t="s">
        <v>111</v>
      </c>
    </row>
    <row r="210" spans="1:12">
      <c r="B210">
        <v>49</v>
      </c>
      <c r="C210" t="s">
        <v>832</v>
      </c>
      <c r="D210" t="s">
        <v>833</v>
      </c>
      <c r="F210" t="s">
        <v>834</v>
      </c>
      <c r="H210" t="s">
        <v>27</v>
      </c>
      <c r="I210" t="s">
        <v>16</v>
      </c>
      <c r="J210" t="s">
        <v>835</v>
      </c>
      <c r="K210" t="str">
        <f>"01743008202"</f>
        <v>0</v>
      </c>
      <c r="L210" t="s">
        <v>88</v>
      </c>
    </row>
    <row r="211" spans="1:12">
      <c r="B211">
        <v>49</v>
      </c>
      <c r="C211" t="s">
        <v>836</v>
      </c>
      <c r="D211" t="s">
        <v>837</v>
      </c>
      <c r="F211" t="s">
        <v>838</v>
      </c>
      <c r="H211" t="s">
        <v>36</v>
      </c>
      <c r="I211" t="s">
        <v>16</v>
      </c>
      <c r="J211" t="s">
        <v>839</v>
      </c>
    </row>
    <row r="212" spans="1:12">
      <c r="B212">
        <v>50</v>
      </c>
      <c r="C212" t="s">
        <v>840</v>
      </c>
      <c r="D212" t="s">
        <v>841</v>
      </c>
      <c r="F212" t="s">
        <v>842</v>
      </c>
      <c r="H212" t="s">
        <v>42</v>
      </c>
      <c r="I212" t="s">
        <v>16</v>
      </c>
      <c r="J212" t="s">
        <v>843</v>
      </c>
      <c r="K212" t="str">
        <f>"01321-683940"</f>
        <v>0</v>
      </c>
      <c r="L212" t="s">
        <v>44</v>
      </c>
    </row>
    <row r="213" spans="1:12">
      <c r="B213">
        <v>50</v>
      </c>
      <c r="C213" t="s">
        <v>844</v>
      </c>
      <c r="D213" t="s">
        <v>845</v>
      </c>
      <c r="F213" t="s">
        <v>846</v>
      </c>
      <c r="H213" t="s">
        <v>27</v>
      </c>
      <c r="I213" t="s">
        <v>16</v>
      </c>
      <c r="J213" t="s">
        <v>847</v>
      </c>
      <c r="K213" t="str">
        <f>"01783404665"</f>
        <v>0</v>
      </c>
      <c r="L213" t="s">
        <v>534</v>
      </c>
    </row>
    <row r="214" spans="1:12">
      <c r="B214">
        <v>50</v>
      </c>
      <c r="C214" t="s">
        <v>848</v>
      </c>
      <c r="D214" t="s">
        <v>849</v>
      </c>
      <c r="F214" t="s">
        <v>850</v>
      </c>
      <c r="H214" t="s">
        <v>36</v>
      </c>
      <c r="I214" t="s">
        <v>16</v>
      </c>
      <c r="J214" t="s">
        <v>851</v>
      </c>
      <c r="K214" t="str">
        <f>"01710889326"</f>
        <v>0</v>
      </c>
    </row>
    <row r="215" spans="1:12">
      <c r="B215">
        <v>51</v>
      </c>
      <c r="C215" t="s">
        <v>852</v>
      </c>
      <c r="D215" t="s">
        <v>818</v>
      </c>
      <c r="F215" t="s">
        <v>819</v>
      </c>
      <c r="H215" t="s">
        <v>42</v>
      </c>
      <c r="I215" t="s">
        <v>16</v>
      </c>
      <c r="J215" t="s">
        <v>853</v>
      </c>
      <c r="K215" t="str">
        <f>"01751163776"</f>
        <v>0</v>
      </c>
      <c r="L215" t="s">
        <v>44</v>
      </c>
    </row>
    <row r="216" spans="1:12">
      <c r="B216">
        <v>51</v>
      </c>
      <c r="C216" t="s">
        <v>854</v>
      </c>
      <c r="D216" t="s">
        <v>855</v>
      </c>
      <c r="F216" t="s">
        <v>164</v>
      </c>
      <c r="H216" t="s">
        <v>27</v>
      </c>
      <c r="I216" t="s">
        <v>16</v>
      </c>
      <c r="J216" t="s">
        <v>856</v>
      </c>
      <c r="K216" t="str">
        <f>"01715776303"</f>
        <v>0</v>
      </c>
      <c r="L216" t="s">
        <v>187</v>
      </c>
    </row>
    <row r="217" spans="1:12">
      <c r="B217">
        <v>52</v>
      </c>
      <c r="C217" t="s">
        <v>857</v>
      </c>
      <c r="D217" t="s">
        <v>858</v>
      </c>
      <c r="F217" t="s">
        <v>859</v>
      </c>
      <c r="H217" t="s">
        <v>42</v>
      </c>
      <c r="I217" t="s">
        <v>16</v>
      </c>
      <c r="J217" t="s">
        <v>860</v>
      </c>
      <c r="K217" t="str">
        <f>"01761551489"</f>
        <v>0</v>
      </c>
      <c r="L217" t="s">
        <v>252</v>
      </c>
    </row>
    <row r="218" spans="1:12">
      <c r="B218">
        <v>52</v>
      </c>
      <c r="C218" t="s">
        <v>861</v>
      </c>
      <c r="D218" t="s">
        <v>324</v>
      </c>
      <c r="F218" t="s">
        <v>164</v>
      </c>
      <c r="H218" t="s">
        <v>27</v>
      </c>
      <c r="I218" t="s">
        <v>16</v>
      </c>
      <c r="J218" t="s">
        <v>856</v>
      </c>
      <c r="K218" t="str">
        <f>"01715776303"</f>
        <v>0</v>
      </c>
      <c r="L218" t="s">
        <v>187</v>
      </c>
    </row>
    <row r="219" spans="1:12">
      <c r="B219">
        <v>53</v>
      </c>
      <c r="C219" t="s">
        <v>862</v>
      </c>
      <c r="D219" t="s">
        <v>863</v>
      </c>
      <c r="F219" t="s">
        <v>864</v>
      </c>
      <c r="H219" t="s">
        <v>42</v>
      </c>
      <c r="I219" t="s">
        <v>16</v>
      </c>
      <c r="J219" t="s">
        <v>865</v>
      </c>
      <c r="L219" t="s">
        <v>102</v>
      </c>
    </row>
    <row r="220" spans="1:12">
      <c r="B220">
        <v>53</v>
      </c>
      <c r="C220" t="s">
        <v>866</v>
      </c>
      <c r="D220" t="s">
        <v>867</v>
      </c>
      <c r="F220" t="s">
        <v>868</v>
      </c>
      <c r="H220" t="s">
        <v>27</v>
      </c>
      <c r="I220" t="s">
        <v>16</v>
      </c>
      <c r="J220" t="s">
        <v>869</v>
      </c>
      <c r="K220" t="str">
        <f>"01472028014"</f>
        <v>0</v>
      </c>
      <c r="L220" t="s">
        <v>317</v>
      </c>
    </row>
    <row r="221" spans="1:12">
      <c r="B221">
        <v>54</v>
      </c>
      <c r="C221" t="s">
        <v>870</v>
      </c>
      <c r="D221" t="s">
        <v>871</v>
      </c>
      <c r="F221" t="s">
        <v>770</v>
      </c>
      <c r="H221" t="s">
        <v>42</v>
      </c>
      <c r="I221" t="s">
        <v>16</v>
      </c>
      <c r="J221" t="s">
        <v>872</v>
      </c>
      <c r="K221" t="str">
        <f>"01760930158"</f>
        <v>0</v>
      </c>
      <c r="L221" t="s">
        <v>29</v>
      </c>
    </row>
    <row r="222" spans="1:12">
      <c r="B222">
        <v>54</v>
      </c>
      <c r="C222" t="s">
        <v>873</v>
      </c>
      <c r="D222" t="s">
        <v>874</v>
      </c>
      <c r="F222" t="s">
        <v>875</v>
      </c>
      <c r="H222" t="s">
        <v>27</v>
      </c>
      <c r="I222" t="s">
        <v>16</v>
      </c>
      <c r="J222" t="s">
        <v>876</v>
      </c>
      <c r="K222" t="str">
        <f>"01333529832"</f>
        <v>0</v>
      </c>
      <c r="L222" t="s">
        <v>44</v>
      </c>
    </row>
    <row r="223" spans="1:12">
      <c r="B223">
        <v>55</v>
      </c>
      <c r="C223" t="s">
        <v>877</v>
      </c>
      <c r="D223" t="s">
        <v>878</v>
      </c>
      <c r="F223" t="s">
        <v>879</v>
      </c>
      <c r="H223" t="s">
        <v>42</v>
      </c>
      <c r="I223" t="s">
        <v>16</v>
      </c>
      <c r="J223" t="s">
        <v>880</v>
      </c>
      <c r="K223" t="str">
        <f>"0173337452"</f>
        <v>0</v>
      </c>
      <c r="L223" t="s">
        <v>102</v>
      </c>
    </row>
    <row r="224" spans="1:12">
      <c r="B224">
        <v>55</v>
      </c>
      <c r="C224" t="s">
        <v>881</v>
      </c>
      <c r="D224" t="s">
        <v>882</v>
      </c>
      <c r="F224" t="s">
        <v>883</v>
      </c>
      <c r="H224" t="s">
        <v>27</v>
      </c>
      <c r="I224" t="s">
        <v>16</v>
      </c>
      <c r="J224" t="s">
        <v>884</v>
      </c>
      <c r="K224" t="str">
        <f>"01732372091"</f>
        <v>0</v>
      </c>
      <c r="L224" t="s">
        <v>149</v>
      </c>
    </row>
    <row r="225" spans="1:12">
      <c r="B225">
        <v>56</v>
      </c>
      <c r="C225" t="s">
        <v>885</v>
      </c>
      <c r="D225" t="s">
        <v>886</v>
      </c>
      <c r="F225" t="s">
        <v>887</v>
      </c>
      <c r="H225" t="s">
        <v>42</v>
      </c>
      <c r="I225" t="s">
        <v>16</v>
      </c>
      <c r="J225" t="s">
        <v>888</v>
      </c>
      <c r="L225" t="s">
        <v>44</v>
      </c>
    </row>
    <row r="226" spans="1:12">
      <c r="B226">
        <v>56</v>
      </c>
      <c r="C226" t="s">
        <v>889</v>
      </c>
      <c r="D226" t="s">
        <v>890</v>
      </c>
      <c r="F226" t="s">
        <v>891</v>
      </c>
      <c r="H226" t="s">
        <v>27</v>
      </c>
      <c r="I226" t="s">
        <v>16</v>
      </c>
      <c r="J226" t="s">
        <v>892</v>
      </c>
      <c r="K226" t="str">
        <f>"01743479306"</f>
        <v>0</v>
      </c>
      <c r="L226" t="s">
        <v>312</v>
      </c>
    </row>
    <row r="227" spans="1:12">
      <c r="B227">
        <v>57</v>
      </c>
      <c r="C227" t="s">
        <v>893</v>
      </c>
      <c r="D227" t="s">
        <v>894</v>
      </c>
      <c r="F227" t="s">
        <v>895</v>
      </c>
      <c r="H227" t="s">
        <v>42</v>
      </c>
      <c r="I227" t="s">
        <v>16</v>
      </c>
      <c r="J227" t="s">
        <v>896</v>
      </c>
      <c r="K227" t="str">
        <f>"01715610390"</f>
        <v>0</v>
      </c>
      <c r="L227" t="s">
        <v>29</v>
      </c>
    </row>
    <row r="228" spans="1:12">
      <c r="B228">
        <v>58</v>
      </c>
      <c r="C228" t="s">
        <v>897</v>
      </c>
      <c r="D228" t="s">
        <v>536</v>
      </c>
      <c r="F228" t="s">
        <v>898</v>
      </c>
      <c r="H228" t="s">
        <v>42</v>
      </c>
      <c r="I228" t="s">
        <v>16</v>
      </c>
      <c r="J228" t="s">
        <v>899</v>
      </c>
      <c r="K228" t="str">
        <f>"01747511946"</f>
        <v>0</v>
      </c>
      <c r="L228" t="s">
        <v>29</v>
      </c>
    </row>
    <row r="229" spans="1:12">
      <c r="B229">
        <v>59</v>
      </c>
      <c r="C229" t="s">
        <v>900</v>
      </c>
      <c r="D229" t="s">
        <v>901</v>
      </c>
      <c r="F229" t="s">
        <v>902</v>
      </c>
      <c r="H229" t="s">
        <v>42</v>
      </c>
      <c r="I229" t="s">
        <v>16</v>
      </c>
      <c r="J229" t="s">
        <v>903</v>
      </c>
      <c r="K229" t="str">
        <f>"01786852085"</f>
        <v>0</v>
      </c>
      <c r="L229" t="s">
        <v>44</v>
      </c>
    </row>
    <row r="230" spans="1:12">
      <c r="B230">
        <v>60</v>
      </c>
      <c r="C230" t="s">
        <v>904</v>
      </c>
      <c r="D230" t="s">
        <v>905</v>
      </c>
      <c r="F230" t="s">
        <v>906</v>
      </c>
      <c r="H230" t="s">
        <v>42</v>
      </c>
      <c r="I230" t="s">
        <v>16</v>
      </c>
      <c r="J230" t="s">
        <v>907</v>
      </c>
      <c r="K230" t="str">
        <f>"01876359262"</f>
        <v>0</v>
      </c>
      <c r="L230" t="s">
        <v>908</v>
      </c>
    </row>
    <row r="231" spans="1:12">
      <c r="B231">
        <v>61</v>
      </c>
      <c r="C231" t="s">
        <v>909</v>
      </c>
      <c r="D231" t="s">
        <v>696</v>
      </c>
      <c r="F231" t="s">
        <v>697</v>
      </c>
      <c r="H231" t="s">
        <v>42</v>
      </c>
      <c r="I231" t="s">
        <v>16</v>
      </c>
      <c r="J231" t="s">
        <v>910</v>
      </c>
      <c r="K231" t="str">
        <f>"01733708350"</f>
        <v>0</v>
      </c>
      <c r="L231" t="s">
        <v>29</v>
      </c>
    </row>
    <row r="232" spans="1:12">
      <c r="B232">
        <v>62</v>
      </c>
      <c r="C232" t="s">
        <v>911</v>
      </c>
      <c r="D232" t="s">
        <v>345</v>
      </c>
      <c r="F232" t="s">
        <v>346</v>
      </c>
      <c r="H232" t="s">
        <v>42</v>
      </c>
      <c r="I232" t="s">
        <v>16</v>
      </c>
      <c r="J232" t="s">
        <v>912</v>
      </c>
      <c r="K232" t="str">
        <f>"01751081152"</f>
        <v>0</v>
      </c>
      <c r="L232" t="s">
        <v>44</v>
      </c>
    </row>
    <row r="233" spans="1:12">
      <c r="B233">
        <v>63</v>
      </c>
      <c r="C233" t="s">
        <v>913</v>
      </c>
      <c r="D233" t="s">
        <v>914</v>
      </c>
      <c r="F233" t="s">
        <v>804</v>
      </c>
      <c r="H233" t="s">
        <v>42</v>
      </c>
      <c r="I233" t="s">
        <v>16</v>
      </c>
      <c r="J233" t="s">
        <v>219</v>
      </c>
      <c r="K233" t="str">
        <f>"01618434774"</f>
        <v>0</v>
      </c>
      <c r="L233" t="s">
        <v>29</v>
      </c>
    </row>
    <row r="234" spans="1:12">
      <c r="B234">
        <v>64</v>
      </c>
      <c r="C234" t="s">
        <v>915</v>
      </c>
      <c r="D234" t="s">
        <v>916</v>
      </c>
      <c r="F234" t="s">
        <v>917</v>
      </c>
      <c r="H234" t="s">
        <v>42</v>
      </c>
      <c r="I234" t="s">
        <v>16</v>
      </c>
      <c r="J234" t="s">
        <v>918</v>
      </c>
      <c r="K234" t="str">
        <f>"0188863801"</f>
        <v>0</v>
      </c>
      <c r="L234" t="s">
        <v>312</v>
      </c>
    </row>
    <row r="235" spans="1:12">
      <c r="B235">
        <v>65</v>
      </c>
      <c r="C235" t="s">
        <v>919</v>
      </c>
      <c r="D235" t="s">
        <v>920</v>
      </c>
      <c r="F235" t="s">
        <v>164</v>
      </c>
      <c r="H235" t="s">
        <v>42</v>
      </c>
      <c r="I235" t="s">
        <v>16</v>
      </c>
      <c r="J235" t="s">
        <v>921</v>
      </c>
      <c r="K235" t="str">
        <f>"01715776303"</f>
        <v>0</v>
      </c>
      <c r="L235" t="s">
        <v>187</v>
      </c>
    </row>
    <row r="236" spans="1:12">
      <c r="B236">
        <v>66</v>
      </c>
      <c r="C236" t="s">
        <v>922</v>
      </c>
      <c r="D236" t="s">
        <v>923</v>
      </c>
      <c r="F236" t="s">
        <v>276</v>
      </c>
      <c r="H236" t="s">
        <v>42</v>
      </c>
      <c r="I236" t="s">
        <v>16</v>
      </c>
      <c r="J236" t="s">
        <v>924</v>
      </c>
      <c r="K236" t="str">
        <f>"01732262409"</f>
        <v>0</v>
      </c>
      <c r="L236" t="s">
        <v>44</v>
      </c>
    </row>
    <row r="237" spans="1:12">
      <c r="B237">
        <v>67</v>
      </c>
      <c r="C237" t="s">
        <v>925</v>
      </c>
      <c r="D237" t="s">
        <v>926</v>
      </c>
      <c r="F237" t="s">
        <v>927</v>
      </c>
      <c r="H237" t="s">
        <v>42</v>
      </c>
      <c r="I237" t="s">
        <v>16</v>
      </c>
      <c r="J237" t="s">
        <v>928</v>
      </c>
      <c r="K237" t="str">
        <f>"013188708001"</f>
        <v>0</v>
      </c>
      <c r="L237" t="s">
        <v>53</v>
      </c>
    </row>
    <row r="238" spans="1:12">
      <c r="B238">
        <v>68</v>
      </c>
      <c r="C238" t="s">
        <v>929</v>
      </c>
      <c r="D238" t="s">
        <v>930</v>
      </c>
      <c r="F238" t="s">
        <v>243</v>
      </c>
      <c r="H238" t="s">
        <v>42</v>
      </c>
      <c r="I238" t="s">
        <v>16</v>
      </c>
      <c r="J238" t="s">
        <v>424</v>
      </c>
    </row>
    <row r="239" spans="1:12">
      <c r="B239">
        <v>19</v>
      </c>
      <c r="C239" t="s">
        <v>931</v>
      </c>
      <c r="D239" t="s">
        <v>932</v>
      </c>
      <c r="F239" t="s">
        <v>246</v>
      </c>
      <c r="H239" t="s">
        <v>21</v>
      </c>
      <c r="I239" t="s">
        <v>933</v>
      </c>
      <c r="J239" t="s">
        <v>934</v>
      </c>
      <c r="K239" t="str">
        <f>"01797572667"</f>
        <v>0</v>
      </c>
      <c r="L239" t="s">
        <v>343</v>
      </c>
    </row>
    <row r="240" spans="1:12">
      <c r="B240">
        <v>23</v>
      </c>
      <c r="C240" t="s">
        <v>935</v>
      </c>
      <c r="D240" t="s">
        <v>936</v>
      </c>
      <c r="F240" t="s">
        <v>937</v>
      </c>
      <c r="H240" t="s">
        <v>21</v>
      </c>
      <c r="I240" t="s">
        <v>933</v>
      </c>
      <c r="J240" t="s">
        <v>938</v>
      </c>
      <c r="K240" t="str">
        <f>"01757056019"</f>
        <v>0</v>
      </c>
      <c r="L240" t="s">
        <v>343</v>
      </c>
    </row>
    <row r="241" spans="1:12">
      <c r="B241">
        <v>32</v>
      </c>
      <c r="C241" t="s">
        <v>939</v>
      </c>
      <c r="D241" t="s">
        <v>71</v>
      </c>
      <c r="F241" t="s">
        <v>72</v>
      </c>
      <c r="H241" t="s">
        <v>21</v>
      </c>
      <c r="I241" t="s">
        <v>933</v>
      </c>
      <c r="J241" t="s">
        <v>888</v>
      </c>
      <c r="K241" t="str">
        <f>"01796693486"</f>
        <v>0</v>
      </c>
    </row>
    <row r="242" spans="1:12">
      <c r="B242">
        <v>35</v>
      </c>
      <c r="C242" t="s">
        <v>940</v>
      </c>
      <c r="D242" t="s">
        <v>941</v>
      </c>
      <c r="F242" t="s">
        <v>713</v>
      </c>
      <c r="H242" t="s">
        <v>21</v>
      </c>
      <c r="I242" t="s">
        <v>933</v>
      </c>
      <c r="J242" t="s">
        <v>942</v>
      </c>
      <c r="K242" t="str">
        <f>"01766395807"</f>
        <v>0</v>
      </c>
      <c r="L242" t="s">
        <v>343</v>
      </c>
    </row>
    <row r="243" spans="1:12">
      <c r="B243">
        <v>36</v>
      </c>
      <c r="C243" t="s">
        <v>943</v>
      </c>
      <c r="D243" t="s">
        <v>944</v>
      </c>
      <c r="F243" t="s">
        <v>945</v>
      </c>
      <c r="H243" t="s">
        <v>21</v>
      </c>
      <c r="I243" t="s">
        <v>933</v>
      </c>
      <c r="J243" t="s">
        <v>706</v>
      </c>
      <c r="K243" t="str">
        <f>"01713803178"</f>
        <v>0</v>
      </c>
      <c r="L243" t="s">
        <v>53</v>
      </c>
    </row>
    <row r="244" spans="1:12">
      <c r="B244">
        <v>37</v>
      </c>
      <c r="C244" t="s">
        <v>946</v>
      </c>
      <c r="D244" t="s">
        <v>947</v>
      </c>
      <c r="F244" t="s">
        <v>145</v>
      </c>
      <c r="H244" t="s">
        <v>21</v>
      </c>
      <c r="I244" t="s">
        <v>933</v>
      </c>
      <c r="J244" t="s">
        <v>948</v>
      </c>
      <c r="K244" t="str">
        <f>"01746110126"</f>
        <v>0</v>
      </c>
      <c r="L244" t="s">
        <v>615</v>
      </c>
    </row>
    <row r="245" spans="1:12">
      <c r="B245">
        <v>40</v>
      </c>
      <c r="C245" t="s">
        <v>949</v>
      </c>
      <c r="D245" t="s">
        <v>950</v>
      </c>
      <c r="F245" t="s">
        <v>951</v>
      </c>
      <c r="H245" t="s">
        <v>21</v>
      </c>
      <c r="I245" t="s">
        <v>933</v>
      </c>
      <c r="J245" t="s">
        <v>952</v>
      </c>
      <c r="K245" t="str">
        <f>"01749776208"</f>
        <v>0</v>
      </c>
      <c r="L245" t="s">
        <v>282</v>
      </c>
    </row>
    <row r="246" spans="1:12">
      <c r="B246">
        <v>41</v>
      </c>
      <c r="C246" t="s">
        <v>953</v>
      </c>
      <c r="D246" t="s">
        <v>954</v>
      </c>
      <c r="F246" t="s">
        <v>955</v>
      </c>
      <c r="H246" t="s">
        <v>21</v>
      </c>
      <c r="I246" t="s">
        <v>933</v>
      </c>
      <c r="J246" t="s">
        <v>956</v>
      </c>
      <c r="K246" t="str">
        <f>"01305710739"</f>
        <v>0</v>
      </c>
      <c r="L246" t="s">
        <v>53</v>
      </c>
    </row>
    <row r="247" spans="1:12">
      <c r="B247">
        <v>47</v>
      </c>
      <c r="C247" t="s">
        <v>957</v>
      </c>
      <c r="D247" t="s">
        <v>958</v>
      </c>
      <c r="F247" t="s">
        <v>959</v>
      </c>
      <c r="H247" t="s">
        <v>21</v>
      </c>
      <c r="I247" t="s">
        <v>933</v>
      </c>
      <c r="J247" t="s">
        <v>960</v>
      </c>
      <c r="K247" t="str">
        <f>"01778826880"</f>
        <v>0</v>
      </c>
      <c r="L247" t="s">
        <v>961</v>
      </c>
    </row>
    <row r="248" spans="1:12">
      <c r="B248">
        <v>48</v>
      </c>
      <c r="C248" t="s">
        <v>962</v>
      </c>
      <c r="D248" t="s">
        <v>963</v>
      </c>
      <c r="F248" t="s">
        <v>964</v>
      </c>
      <c r="H248" t="s">
        <v>21</v>
      </c>
      <c r="I248" t="s">
        <v>933</v>
      </c>
      <c r="J248" t="s">
        <v>965</v>
      </c>
      <c r="K248" t="str">
        <f>"01311061568"</f>
        <v>0</v>
      </c>
      <c r="L248" t="s">
        <v>966</v>
      </c>
    </row>
    <row r="249" spans="1:12">
      <c r="B249">
        <v>49</v>
      </c>
      <c r="C249" t="s">
        <v>967</v>
      </c>
      <c r="D249" t="s">
        <v>968</v>
      </c>
      <c r="F249" t="s">
        <v>969</v>
      </c>
      <c r="H249" t="s">
        <v>21</v>
      </c>
      <c r="I249" t="s">
        <v>933</v>
      </c>
      <c r="J249" t="s">
        <v>970</v>
      </c>
      <c r="K249" t="str">
        <f>"01310378022"</f>
        <v>0</v>
      </c>
      <c r="L249" t="s">
        <v>303</v>
      </c>
    </row>
    <row r="250" spans="1:12">
      <c r="B250">
        <v>50</v>
      </c>
      <c r="C250" t="s">
        <v>971</v>
      </c>
      <c r="D250" t="s">
        <v>557</v>
      </c>
      <c r="F250" t="s">
        <v>558</v>
      </c>
      <c r="H250" t="s">
        <v>21</v>
      </c>
      <c r="I250" t="s">
        <v>933</v>
      </c>
      <c r="J250" t="s">
        <v>559</v>
      </c>
      <c r="K250" t="str">
        <f>"01746671831"</f>
        <v>0</v>
      </c>
      <c r="L250" t="s">
        <v>303</v>
      </c>
    </row>
    <row r="251" spans="1:12">
      <c r="B251">
        <v>51</v>
      </c>
      <c r="C251" t="s">
        <v>972</v>
      </c>
      <c r="D251" t="s">
        <v>369</v>
      </c>
      <c r="F251" t="s">
        <v>973</v>
      </c>
      <c r="H251" t="s">
        <v>21</v>
      </c>
      <c r="I251" t="s">
        <v>933</v>
      </c>
      <c r="J251" t="s">
        <v>974</v>
      </c>
      <c r="K251" t="str">
        <f>"01746729165"</f>
        <v>0</v>
      </c>
      <c r="L251" t="s">
        <v>74</v>
      </c>
    </row>
    <row r="252" spans="1:12">
      <c r="B252">
        <v>52</v>
      </c>
      <c r="C252" t="s">
        <v>975</v>
      </c>
      <c r="D252" t="s">
        <v>976</v>
      </c>
      <c r="F252" t="s">
        <v>977</v>
      </c>
      <c r="H252" t="s">
        <v>21</v>
      </c>
      <c r="I252" t="s">
        <v>933</v>
      </c>
      <c r="J252" t="s">
        <v>978</v>
      </c>
      <c r="K252" t="str">
        <f>"01711476855"</f>
        <v>0</v>
      </c>
      <c r="L252" t="s">
        <v>282</v>
      </c>
    </row>
    <row r="253" spans="1:12">
      <c r="B253">
        <v>53</v>
      </c>
      <c r="C253" t="s">
        <v>979</v>
      </c>
      <c r="D253" t="s">
        <v>980</v>
      </c>
      <c r="F253" t="s">
        <v>981</v>
      </c>
      <c r="H253" t="s">
        <v>21</v>
      </c>
      <c r="I253" t="s">
        <v>933</v>
      </c>
      <c r="J253" t="s">
        <v>982</v>
      </c>
    </row>
    <row r="254" spans="1:12">
      <c r="B254">
        <v>54</v>
      </c>
      <c r="C254" t="s">
        <v>983</v>
      </c>
      <c r="D254" t="s">
        <v>689</v>
      </c>
      <c r="F254" t="s">
        <v>374</v>
      </c>
      <c r="H254" t="s">
        <v>21</v>
      </c>
      <c r="I254" t="s">
        <v>933</v>
      </c>
      <c r="J254" t="s">
        <v>690</v>
      </c>
      <c r="K254" t="str">
        <f>"01314652621"</f>
        <v>0</v>
      </c>
      <c r="L254" t="s">
        <v>343</v>
      </c>
    </row>
    <row r="255" spans="1:12">
      <c r="B255">
        <v>55</v>
      </c>
      <c r="C255" t="s">
        <v>984</v>
      </c>
      <c r="D255" t="s">
        <v>985</v>
      </c>
      <c r="F255" t="s">
        <v>986</v>
      </c>
      <c r="H255" t="s">
        <v>21</v>
      </c>
      <c r="I255" t="s">
        <v>933</v>
      </c>
      <c r="J255" t="s">
        <v>987</v>
      </c>
      <c r="K255" t="str">
        <f>"01722480869"</f>
        <v>0</v>
      </c>
      <c r="L255" t="s">
        <v>343</v>
      </c>
    </row>
    <row r="256" spans="1:12">
      <c r="B256">
        <v>57</v>
      </c>
      <c r="C256" t="s">
        <v>988</v>
      </c>
      <c r="D256" t="s">
        <v>50</v>
      </c>
      <c r="F256" t="s">
        <v>540</v>
      </c>
      <c r="H256" t="s">
        <v>21</v>
      </c>
      <c r="I256" t="s">
        <v>933</v>
      </c>
      <c r="J256" t="s">
        <v>132</v>
      </c>
      <c r="K256" t="str">
        <f>"01723620938"</f>
        <v>0</v>
      </c>
      <c r="L256" t="s">
        <v>282</v>
      </c>
    </row>
    <row r="257" spans="1:12">
      <c r="B257">
        <v>58</v>
      </c>
      <c r="C257" t="s">
        <v>989</v>
      </c>
      <c r="D257" t="s">
        <v>990</v>
      </c>
      <c r="F257" t="s">
        <v>131</v>
      </c>
      <c r="H257" t="s">
        <v>21</v>
      </c>
      <c r="I257" t="s">
        <v>933</v>
      </c>
      <c r="J257" t="s">
        <v>991</v>
      </c>
      <c r="L257" t="s">
        <v>282</v>
      </c>
    </row>
    <row r="258" spans="1:12">
      <c r="B258">
        <v>59</v>
      </c>
      <c r="C258" t="s">
        <v>992</v>
      </c>
      <c r="D258" t="s">
        <v>993</v>
      </c>
      <c r="F258" t="s">
        <v>994</v>
      </c>
      <c r="H258" t="s">
        <v>21</v>
      </c>
      <c r="I258" t="s">
        <v>933</v>
      </c>
      <c r="J258" t="s">
        <v>995</v>
      </c>
      <c r="K258" t="str">
        <f>"01732663302"</f>
        <v>0</v>
      </c>
      <c r="L258" t="s">
        <v>996</v>
      </c>
    </row>
    <row r="259" spans="1:12">
      <c r="B259">
        <v>60</v>
      </c>
      <c r="C259" t="s">
        <v>997</v>
      </c>
      <c r="D259" t="s">
        <v>998</v>
      </c>
      <c r="F259" t="s">
        <v>999</v>
      </c>
      <c r="H259" t="s">
        <v>21</v>
      </c>
      <c r="I259" t="s">
        <v>933</v>
      </c>
      <c r="J259" t="s">
        <v>1000</v>
      </c>
      <c r="K259" t="str">
        <f>"01751557769"</f>
        <v>0</v>
      </c>
    </row>
    <row r="260" spans="1:12">
      <c r="B260">
        <v>61</v>
      </c>
      <c r="C260" t="s">
        <v>1001</v>
      </c>
      <c r="D260" t="s">
        <v>1002</v>
      </c>
      <c r="F260" t="s">
        <v>1003</v>
      </c>
      <c r="H260" t="s">
        <v>21</v>
      </c>
      <c r="I260" t="s">
        <v>933</v>
      </c>
      <c r="J260" t="s">
        <v>1004</v>
      </c>
      <c r="K260" t="str">
        <f>"01785052217"</f>
        <v>0</v>
      </c>
      <c r="L260" t="s">
        <v>615</v>
      </c>
    </row>
    <row r="261" spans="1:12">
      <c r="B261">
        <v>62</v>
      </c>
      <c r="C261" t="s">
        <v>1005</v>
      </c>
      <c r="D261" t="s">
        <v>1006</v>
      </c>
      <c r="F261" t="s">
        <v>1007</v>
      </c>
      <c r="H261" t="s">
        <v>21</v>
      </c>
      <c r="I261" t="s">
        <v>933</v>
      </c>
      <c r="J261" t="s">
        <v>1008</v>
      </c>
      <c r="K261" t="str">
        <f>"01757171028"</f>
        <v>0</v>
      </c>
      <c r="L261" t="s">
        <v>615</v>
      </c>
    </row>
    <row r="262" spans="1:12">
      <c r="B262">
        <v>63</v>
      </c>
      <c r="C262" t="s">
        <v>1009</v>
      </c>
      <c r="D262" t="s">
        <v>1010</v>
      </c>
      <c r="F262" t="s">
        <v>318</v>
      </c>
      <c r="H262" t="s">
        <v>21</v>
      </c>
      <c r="I262" t="s">
        <v>933</v>
      </c>
      <c r="J262" t="s">
        <v>1011</v>
      </c>
      <c r="K262" t="str">
        <f>"01323788118"</f>
        <v>0</v>
      </c>
      <c r="L262" t="s">
        <v>282</v>
      </c>
    </row>
    <row r="263" spans="1:12">
      <c r="B263">
        <v>64</v>
      </c>
      <c r="C263" t="s">
        <v>1012</v>
      </c>
      <c r="D263" t="s">
        <v>1013</v>
      </c>
      <c r="F263" t="s">
        <v>255</v>
      </c>
      <c r="H263" t="s">
        <v>21</v>
      </c>
      <c r="I263" t="s">
        <v>933</v>
      </c>
      <c r="J263" t="s">
        <v>1014</v>
      </c>
      <c r="K263" t="str">
        <f>"01316363578"</f>
        <v>0</v>
      </c>
      <c r="L263" t="s">
        <v>615</v>
      </c>
    </row>
    <row r="264" spans="1:12">
      <c r="B264">
        <v>65</v>
      </c>
      <c r="C264" t="s">
        <v>1015</v>
      </c>
      <c r="D264" t="s">
        <v>1016</v>
      </c>
      <c r="F264" t="s">
        <v>1017</v>
      </c>
      <c r="H264" t="s">
        <v>21</v>
      </c>
      <c r="I264" t="s">
        <v>933</v>
      </c>
      <c r="J264" t="s">
        <v>1018</v>
      </c>
      <c r="K264" t="str">
        <f>"01734556052"</f>
        <v>0</v>
      </c>
      <c r="L264" t="s">
        <v>615</v>
      </c>
    </row>
    <row r="265" spans="1:12">
      <c r="B265">
        <v>66</v>
      </c>
      <c r="C265" t="s">
        <v>1019</v>
      </c>
      <c r="D265" t="s">
        <v>871</v>
      </c>
      <c r="F265" t="s">
        <v>168</v>
      </c>
      <c r="H265" t="s">
        <v>21</v>
      </c>
      <c r="I265" t="s">
        <v>933</v>
      </c>
      <c r="J265" t="s">
        <v>1020</v>
      </c>
      <c r="K265" t="str">
        <f>"01775175625"</f>
        <v>0</v>
      </c>
      <c r="L265" t="s">
        <v>53</v>
      </c>
    </row>
    <row r="266" spans="1:12">
      <c r="B266">
        <v>67</v>
      </c>
      <c r="C266" t="s">
        <v>1021</v>
      </c>
      <c r="D266" t="s">
        <v>1022</v>
      </c>
      <c r="F266" t="s">
        <v>1023</v>
      </c>
      <c r="H266" t="s">
        <v>21</v>
      </c>
      <c r="I266" t="s">
        <v>933</v>
      </c>
      <c r="J266" t="s">
        <v>1024</v>
      </c>
      <c r="K266" t="str">
        <f>"01735550254"</f>
        <v>0</v>
      </c>
      <c r="L266" t="s">
        <v>303</v>
      </c>
    </row>
    <row r="267" spans="1:12">
      <c r="B267">
        <v>68</v>
      </c>
      <c r="C267" t="s">
        <v>1025</v>
      </c>
      <c r="D267" t="s">
        <v>1026</v>
      </c>
      <c r="F267" t="s">
        <v>1027</v>
      </c>
      <c r="H267" t="s">
        <v>21</v>
      </c>
      <c r="I267" t="s">
        <v>933</v>
      </c>
      <c r="J267" t="s">
        <v>1028</v>
      </c>
      <c r="K267" t="str">
        <f>"01749227221"</f>
        <v>0</v>
      </c>
      <c r="L267" t="s">
        <v>1029</v>
      </c>
    </row>
    <row r="268" spans="1:12">
      <c r="B268">
        <v>69</v>
      </c>
      <c r="C268" t="s">
        <v>1030</v>
      </c>
      <c r="D268" t="s">
        <v>1031</v>
      </c>
      <c r="F268" t="s">
        <v>468</v>
      </c>
      <c r="H268" t="s">
        <v>21</v>
      </c>
      <c r="I268" t="s">
        <v>933</v>
      </c>
      <c r="J268" t="s">
        <v>1032</v>
      </c>
      <c r="K268" t="str">
        <f>"0179950087"</f>
        <v>0</v>
      </c>
    </row>
    <row r="269" spans="1:12">
      <c r="B269">
        <v>70</v>
      </c>
      <c r="C269" t="s">
        <v>1033</v>
      </c>
      <c r="D269" t="s">
        <v>1034</v>
      </c>
      <c r="F269" t="s">
        <v>1035</v>
      </c>
      <c r="H269" t="s">
        <v>21</v>
      </c>
      <c r="I269" t="s">
        <v>933</v>
      </c>
      <c r="J269" t="s">
        <v>1036</v>
      </c>
      <c r="K269" t="str">
        <f>"016374132661"</f>
        <v>0</v>
      </c>
      <c r="L269" t="s">
        <v>38</v>
      </c>
    </row>
    <row r="270" spans="1:12">
      <c r="B270">
        <v>72</v>
      </c>
      <c r="C270" t="s">
        <v>1037</v>
      </c>
      <c r="D270" t="s">
        <v>1038</v>
      </c>
      <c r="F270" t="s">
        <v>1039</v>
      </c>
      <c r="H270" t="s">
        <v>21</v>
      </c>
      <c r="I270" t="s">
        <v>933</v>
      </c>
      <c r="J270" t="s">
        <v>1040</v>
      </c>
      <c r="K270" t="str">
        <f>"01782021347"</f>
        <v>0</v>
      </c>
      <c r="L270" t="s">
        <v>343</v>
      </c>
    </row>
    <row r="271" spans="1:12">
      <c r="B271">
        <v>73</v>
      </c>
      <c r="C271" t="s">
        <v>1041</v>
      </c>
      <c r="D271" t="s">
        <v>1042</v>
      </c>
      <c r="F271" t="s">
        <v>460</v>
      </c>
      <c r="H271" t="s">
        <v>21</v>
      </c>
      <c r="I271" t="s">
        <v>933</v>
      </c>
      <c r="J271" t="s">
        <v>1043</v>
      </c>
      <c r="K271" t="str">
        <f>"01710840356"</f>
        <v>0</v>
      </c>
      <c r="L271" t="s">
        <v>282</v>
      </c>
    </row>
    <row r="272" spans="1:12">
      <c r="B272">
        <v>74</v>
      </c>
      <c r="C272" t="s">
        <v>318</v>
      </c>
      <c r="D272" t="s">
        <v>724</v>
      </c>
      <c r="F272" t="s">
        <v>1044</v>
      </c>
      <c r="H272" t="s">
        <v>21</v>
      </c>
      <c r="I272" t="s">
        <v>933</v>
      </c>
      <c r="J272" t="s">
        <v>1045</v>
      </c>
      <c r="K272" t="str">
        <f>"01771264451"</f>
        <v>0</v>
      </c>
    </row>
    <row r="273" spans="1:12">
      <c r="B273">
        <v>75</v>
      </c>
      <c r="C273" t="s">
        <v>1046</v>
      </c>
      <c r="D273" t="s">
        <v>13</v>
      </c>
      <c r="F273" t="s">
        <v>1047</v>
      </c>
      <c r="H273" t="s">
        <v>21</v>
      </c>
      <c r="I273" t="s">
        <v>933</v>
      </c>
      <c r="J273" t="s">
        <v>1048</v>
      </c>
      <c r="K273" t="str">
        <f>"01733627935"</f>
        <v>0</v>
      </c>
      <c r="L273" t="s">
        <v>312</v>
      </c>
    </row>
    <row r="274" spans="1:12">
      <c r="B274">
        <v>76</v>
      </c>
      <c r="C274" t="s">
        <v>1049</v>
      </c>
      <c r="D274" t="s">
        <v>1050</v>
      </c>
      <c r="F274" t="s">
        <v>1051</v>
      </c>
      <c r="H274" t="s">
        <v>21</v>
      </c>
      <c r="I274" t="s">
        <v>933</v>
      </c>
      <c r="J274" t="s">
        <v>1052</v>
      </c>
      <c r="L274" t="s">
        <v>343</v>
      </c>
    </row>
    <row r="275" spans="1:12">
      <c r="B275">
        <v>77</v>
      </c>
      <c r="C275" t="s">
        <v>1053</v>
      </c>
      <c r="D275" t="s">
        <v>1054</v>
      </c>
      <c r="F275" t="s">
        <v>1023</v>
      </c>
      <c r="H275" t="s">
        <v>21</v>
      </c>
      <c r="I275" t="s">
        <v>933</v>
      </c>
      <c r="J275" t="s">
        <v>1055</v>
      </c>
      <c r="K275" t="str">
        <f>"01786195270"</f>
        <v>0</v>
      </c>
      <c r="L275" t="s">
        <v>303</v>
      </c>
    </row>
    <row r="276" spans="1:12">
      <c r="B276">
        <v>78</v>
      </c>
      <c r="C276" t="s">
        <v>1056</v>
      </c>
      <c r="D276" t="s">
        <v>1057</v>
      </c>
      <c r="F276" t="s">
        <v>1058</v>
      </c>
      <c r="H276" t="s">
        <v>21</v>
      </c>
      <c r="I276" t="s">
        <v>933</v>
      </c>
      <c r="J276" t="s">
        <v>1059</v>
      </c>
      <c r="K276" t="str">
        <f>"01734459139"</f>
        <v>0</v>
      </c>
      <c r="L276" t="s">
        <v>996</v>
      </c>
    </row>
    <row r="277" spans="1:12">
      <c r="B277">
        <v>79</v>
      </c>
      <c r="C277" t="s">
        <v>1060</v>
      </c>
      <c r="D277" t="s">
        <v>1061</v>
      </c>
      <c r="F277" t="s">
        <v>602</v>
      </c>
      <c r="H277" t="s">
        <v>21</v>
      </c>
      <c r="I277" t="s">
        <v>933</v>
      </c>
      <c r="J277" t="s">
        <v>1062</v>
      </c>
      <c r="K277" t="str">
        <f>"01733535782"</f>
        <v>0</v>
      </c>
      <c r="L277" t="s">
        <v>282</v>
      </c>
    </row>
    <row r="278" spans="1:12">
      <c r="B278">
        <v>80</v>
      </c>
      <c r="C278" t="s">
        <v>1063</v>
      </c>
      <c r="D278" t="s">
        <v>1064</v>
      </c>
      <c r="F278" t="s">
        <v>1065</v>
      </c>
      <c r="H278" t="s">
        <v>21</v>
      </c>
      <c r="I278" t="s">
        <v>933</v>
      </c>
      <c r="J278" t="s">
        <v>1066</v>
      </c>
      <c r="K278" t="str">
        <f>"01748431188"</f>
        <v>0</v>
      </c>
      <c r="L278" t="s">
        <v>996</v>
      </c>
    </row>
    <row r="279" spans="1:12">
      <c r="B279">
        <v>81</v>
      </c>
      <c r="C279" t="s">
        <v>1067</v>
      </c>
      <c r="D279" t="s">
        <v>1068</v>
      </c>
      <c r="F279" t="s">
        <v>1069</v>
      </c>
      <c r="H279" t="s">
        <v>21</v>
      </c>
      <c r="I279" t="s">
        <v>933</v>
      </c>
      <c r="J279" t="s">
        <v>1070</v>
      </c>
      <c r="K279" t="str">
        <f>"01794263218"</f>
        <v>0</v>
      </c>
      <c r="L279" t="s">
        <v>38</v>
      </c>
    </row>
    <row r="280" spans="1:12">
      <c r="B280">
        <v>82</v>
      </c>
      <c r="C280" t="s">
        <v>1071</v>
      </c>
      <c r="D280" t="s">
        <v>627</v>
      </c>
      <c r="F280" t="s">
        <v>168</v>
      </c>
      <c r="H280" t="s">
        <v>21</v>
      </c>
      <c r="I280" t="s">
        <v>933</v>
      </c>
      <c r="J280" t="s">
        <v>1072</v>
      </c>
      <c r="K280" t="str">
        <f>"01763878853"</f>
        <v>0</v>
      </c>
      <c r="L280" t="s">
        <v>312</v>
      </c>
    </row>
    <row r="281" spans="1:12">
      <c r="B281">
        <v>83</v>
      </c>
      <c r="C281" t="s">
        <v>227</v>
      </c>
      <c r="D281" t="s">
        <v>1073</v>
      </c>
      <c r="F281" t="s">
        <v>1074</v>
      </c>
      <c r="H281" t="s">
        <v>21</v>
      </c>
      <c r="I281" t="s">
        <v>933</v>
      </c>
      <c r="J281" t="s">
        <v>1075</v>
      </c>
      <c r="K281" t="str">
        <f>"01761353027"</f>
        <v>0</v>
      </c>
      <c r="L281" t="s">
        <v>312</v>
      </c>
    </row>
    <row r="282" spans="1:12">
      <c r="B282">
        <v>84</v>
      </c>
      <c r="C282" t="s">
        <v>1076</v>
      </c>
      <c r="D282" t="s">
        <v>531</v>
      </c>
      <c r="F282" t="s">
        <v>532</v>
      </c>
      <c r="H282" t="s">
        <v>21</v>
      </c>
      <c r="I282" t="s">
        <v>933</v>
      </c>
      <c r="J282" t="s">
        <v>1077</v>
      </c>
      <c r="K282" t="str">
        <f>"01752929081"</f>
        <v>0</v>
      </c>
      <c r="L282" t="s">
        <v>149</v>
      </c>
    </row>
    <row r="283" spans="1:12">
      <c r="B283">
        <v>85</v>
      </c>
      <c r="C283" t="s">
        <v>1078</v>
      </c>
      <c r="D283" t="s">
        <v>1079</v>
      </c>
      <c r="F283" t="s">
        <v>1080</v>
      </c>
      <c r="H283" t="s">
        <v>21</v>
      </c>
      <c r="I283" t="s">
        <v>933</v>
      </c>
      <c r="J283" t="s">
        <v>1081</v>
      </c>
      <c r="K283" t="str">
        <f>"01711700239"</f>
        <v>0</v>
      </c>
      <c r="L283" t="s">
        <v>282</v>
      </c>
    </row>
    <row r="284" spans="1:12">
      <c r="B284">
        <v>86</v>
      </c>
      <c r="C284" t="s">
        <v>1082</v>
      </c>
      <c r="D284" t="s">
        <v>1083</v>
      </c>
      <c r="F284" t="s">
        <v>1084</v>
      </c>
      <c r="H284" t="s">
        <v>21</v>
      </c>
      <c r="I284" t="s">
        <v>933</v>
      </c>
      <c r="J284" t="s">
        <v>1085</v>
      </c>
      <c r="K284" t="str">
        <f>"01792145507"</f>
        <v>0</v>
      </c>
      <c r="L284" t="s">
        <v>615</v>
      </c>
    </row>
    <row r="285" spans="1:12">
      <c r="B285">
        <v>87</v>
      </c>
      <c r="C285" t="s">
        <v>1086</v>
      </c>
      <c r="D285" t="s">
        <v>1087</v>
      </c>
      <c r="F285" t="s">
        <v>1088</v>
      </c>
      <c r="H285" t="s">
        <v>21</v>
      </c>
      <c r="I285" t="s">
        <v>933</v>
      </c>
      <c r="J285" t="s">
        <v>1089</v>
      </c>
      <c r="K285" t="str">
        <f>"01729168197"</f>
        <v>0</v>
      </c>
      <c r="L285" t="s">
        <v>996</v>
      </c>
    </row>
    <row r="286" spans="1:12">
      <c r="B286">
        <v>88</v>
      </c>
      <c r="C286" t="s">
        <v>1090</v>
      </c>
      <c r="D286" t="s">
        <v>1091</v>
      </c>
      <c r="F286" t="s">
        <v>180</v>
      </c>
      <c r="H286" t="s">
        <v>21</v>
      </c>
      <c r="I286" t="s">
        <v>933</v>
      </c>
      <c r="J286" t="s">
        <v>1092</v>
      </c>
      <c r="K286" t="str">
        <f>"01748431188"</f>
        <v>0</v>
      </c>
      <c r="L286" t="s">
        <v>44</v>
      </c>
    </row>
    <row r="287" spans="1:12">
      <c r="B287">
        <v>89</v>
      </c>
      <c r="C287" t="s">
        <v>1093</v>
      </c>
      <c r="D287" t="s">
        <v>724</v>
      </c>
      <c r="F287" t="s">
        <v>642</v>
      </c>
      <c r="H287" t="s">
        <v>21</v>
      </c>
      <c r="I287" t="s">
        <v>933</v>
      </c>
      <c r="J287" t="s">
        <v>1094</v>
      </c>
      <c r="K287" t="str">
        <f>"01713816893"</f>
        <v>0</v>
      </c>
      <c r="L287" t="s">
        <v>312</v>
      </c>
    </row>
    <row r="288" spans="1:12">
      <c r="B288">
        <v>90</v>
      </c>
      <c r="C288" t="s">
        <v>1095</v>
      </c>
      <c r="H288" t="s">
        <v>21</v>
      </c>
      <c r="I288" t="s">
        <v>933</v>
      </c>
      <c r="J288" t="s">
        <v>1096</v>
      </c>
    </row>
    <row r="289" spans="1:12">
      <c r="B289">
        <v>91</v>
      </c>
      <c r="C289" t="s">
        <v>1097</v>
      </c>
      <c r="D289" t="s">
        <v>1098</v>
      </c>
      <c r="F289" t="s">
        <v>1099</v>
      </c>
      <c r="H289" t="s">
        <v>21</v>
      </c>
      <c r="I289" t="s">
        <v>933</v>
      </c>
      <c r="J289" t="s">
        <v>1100</v>
      </c>
      <c r="K289" t="str">
        <f>"01799456557"</f>
        <v>0</v>
      </c>
      <c r="L289" t="s">
        <v>111</v>
      </c>
    </row>
    <row r="290" spans="1:12">
      <c r="B290">
        <v>92</v>
      </c>
      <c r="C290" t="s">
        <v>1101</v>
      </c>
      <c r="D290" t="s">
        <v>1102</v>
      </c>
      <c r="F290" t="s">
        <v>1103</v>
      </c>
      <c r="H290" t="s">
        <v>21</v>
      </c>
      <c r="I290" t="s">
        <v>933</v>
      </c>
      <c r="J290" t="s">
        <v>1104</v>
      </c>
      <c r="K290" t="str">
        <f>"01301520884"</f>
        <v>0</v>
      </c>
      <c r="L290" t="s">
        <v>996</v>
      </c>
    </row>
    <row r="291" spans="1:12">
      <c r="B291">
        <v>93</v>
      </c>
      <c r="C291" t="s">
        <v>1105</v>
      </c>
      <c r="D291" t="s">
        <v>1106</v>
      </c>
      <c r="F291" t="s">
        <v>1107</v>
      </c>
      <c r="H291" t="s">
        <v>21</v>
      </c>
      <c r="I291" t="s">
        <v>933</v>
      </c>
      <c r="J291" t="s">
        <v>1108</v>
      </c>
      <c r="K291" t="str">
        <f>"01777613985"</f>
        <v>0</v>
      </c>
      <c r="L291" t="s">
        <v>44</v>
      </c>
    </row>
    <row r="292" spans="1:12">
      <c r="B292">
        <v>94</v>
      </c>
      <c r="C292" t="s">
        <v>1109</v>
      </c>
      <c r="D292" t="s">
        <v>1110</v>
      </c>
      <c r="F292" t="s">
        <v>293</v>
      </c>
      <c r="H292" t="s">
        <v>21</v>
      </c>
      <c r="I292" t="s">
        <v>933</v>
      </c>
      <c r="J292" t="s">
        <v>1111</v>
      </c>
      <c r="K292" t="str">
        <f>"01752561317"</f>
        <v>0</v>
      </c>
      <c r="L292" t="s">
        <v>343</v>
      </c>
    </row>
    <row r="293" spans="1:12">
      <c r="B293">
        <v>95</v>
      </c>
      <c r="C293" t="s">
        <v>1112</v>
      </c>
      <c r="D293" t="s">
        <v>512</v>
      </c>
      <c r="F293" t="s">
        <v>1113</v>
      </c>
      <c r="H293" t="s">
        <v>21</v>
      </c>
      <c r="I293" t="s">
        <v>933</v>
      </c>
      <c r="J293" t="s">
        <v>1114</v>
      </c>
      <c r="K293" t="str">
        <f>"01305285004"</f>
        <v>0</v>
      </c>
      <c r="L293" t="s">
        <v>966</v>
      </c>
    </row>
    <row r="294" spans="1:12">
      <c r="B294">
        <v>96</v>
      </c>
      <c r="C294" t="s">
        <v>1115</v>
      </c>
      <c r="D294" t="s">
        <v>1116</v>
      </c>
      <c r="F294" t="s">
        <v>1117</v>
      </c>
      <c r="H294" t="s">
        <v>21</v>
      </c>
      <c r="I294" t="s">
        <v>933</v>
      </c>
      <c r="J294" t="s">
        <v>1118</v>
      </c>
      <c r="K294" t="str">
        <f>"01747924661"</f>
        <v>0</v>
      </c>
      <c r="L294" t="s">
        <v>74</v>
      </c>
    </row>
    <row r="295" spans="1:12">
      <c r="B295">
        <v>97</v>
      </c>
      <c r="C295" t="s">
        <v>1119</v>
      </c>
      <c r="D295" t="s">
        <v>1120</v>
      </c>
      <c r="F295" t="s">
        <v>1121</v>
      </c>
      <c r="H295" t="s">
        <v>21</v>
      </c>
      <c r="I295" t="s">
        <v>933</v>
      </c>
      <c r="J295" t="s">
        <v>1122</v>
      </c>
      <c r="K295" t="str">
        <f>"01810554152"</f>
        <v>0</v>
      </c>
    </row>
    <row r="296" spans="1:12">
      <c r="B296">
        <v>98</v>
      </c>
      <c r="C296" t="s">
        <v>1123</v>
      </c>
      <c r="D296" t="s">
        <v>230</v>
      </c>
      <c r="F296" t="s">
        <v>231</v>
      </c>
      <c r="H296" t="s">
        <v>21</v>
      </c>
      <c r="I296" t="s">
        <v>933</v>
      </c>
      <c r="J296" t="s">
        <v>1124</v>
      </c>
      <c r="K296" t="str">
        <f>"0134389287"</f>
        <v>0</v>
      </c>
      <c r="L296" t="s">
        <v>312</v>
      </c>
    </row>
    <row r="297" spans="1:12">
      <c r="B297">
        <v>99</v>
      </c>
      <c r="C297" t="s">
        <v>1125</v>
      </c>
      <c r="D297" t="s">
        <v>1126</v>
      </c>
      <c r="F297" t="s">
        <v>1127</v>
      </c>
      <c r="H297" t="s">
        <v>21</v>
      </c>
      <c r="I297" t="s">
        <v>933</v>
      </c>
      <c r="J297" t="s">
        <v>1128</v>
      </c>
      <c r="K297" t="str">
        <f>"01739962828"</f>
        <v>0</v>
      </c>
      <c r="L297" t="s">
        <v>74</v>
      </c>
    </row>
    <row r="298" spans="1:12">
      <c r="B298">
        <v>99</v>
      </c>
      <c r="C298" t="s">
        <v>1129</v>
      </c>
      <c r="D298" t="s">
        <v>590</v>
      </c>
      <c r="F298" t="s">
        <v>1130</v>
      </c>
      <c r="H298" t="s">
        <v>21</v>
      </c>
      <c r="I298" t="s">
        <v>933</v>
      </c>
      <c r="J298" t="s">
        <v>1131</v>
      </c>
    </row>
    <row r="299" spans="1:12">
      <c r="B299">
        <v>100</v>
      </c>
      <c r="C299" t="s">
        <v>1132</v>
      </c>
      <c r="D299" t="s">
        <v>1106</v>
      </c>
      <c r="F299" t="s">
        <v>1107</v>
      </c>
      <c r="H299" t="s">
        <v>21</v>
      </c>
      <c r="I299" t="s">
        <v>933</v>
      </c>
      <c r="J299" t="s">
        <v>1133</v>
      </c>
      <c r="K299" t="str">
        <f>"01777613985"</f>
        <v>0</v>
      </c>
      <c r="L299" t="s">
        <v>44</v>
      </c>
    </row>
    <row r="300" spans="1:12">
      <c r="B300">
        <v>102</v>
      </c>
      <c r="C300" t="s">
        <v>1134</v>
      </c>
      <c r="D300" t="s">
        <v>704</v>
      </c>
      <c r="F300" t="s">
        <v>705</v>
      </c>
      <c r="H300" t="s">
        <v>21</v>
      </c>
      <c r="I300" t="s">
        <v>933</v>
      </c>
      <c r="J300" t="s">
        <v>148</v>
      </c>
      <c r="K300" t="str">
        <f>"01320806608"</f>
        <v>0</v>
      </c>
      <c r="L300" t="s">
        <v>44</v>
      </c>
    </row>
    <row r="301" spans="1:12">
      <c r="B301">
        <v>103</v>
      </c>
      <c r="C301" t="s">
        <v>1135</v>
      </c>
      <c r="D301" t="s">
        <v>1136</v>
      </c>
      <c r="F301" t="s">
        <v>390</v>
      </c>
      <c r="H301" t="s">
        <v>21</v>
      </c>
      <c r="I301" t="s">
        <v>933</v>
      </c>
      <c r="J301" t="s">
        <v>1137</v>
      </c>
      <c r="K301" t="str">
        <f>"01715395302"</f>
        <v>0</v>
      </c>
      <c r="L301" t="s">
        <v>282</v>
      </c>
    </row>
    <row r="302" spans="1:12">
      <c r="B302">
        <v>104</v>
      </c>
      <c r="C302" t="s">
        <v>1138</v>
      </c>
      <c r="D302" t="s">
        <v>1139</v>
      </c>
      <c r="F302" t="s">
        <v>1140</v>
      </c>
      <c r="H302" t="s">
        <v>21</v>
      </c>
      <c r="I302" t="s">
        <v>933</v>
      </c>
      <c r="J302" t="s">
        <v>1141</v>
      </c>
      <c r="K302" t="str">
        <f>"01305710739"</f>
        <v>0</v>
      </c>
      <c r="L302" t="s">
        <v>53</v>
      </c>
    </row>
    <row r="303" spans="1:12">
      <c r="B303">
        <v>105</v>
      </c>
      <c r="C303" t="s">
        <v>1142</v>
      </c>
      <c r="D303" t="s">
        <v>1143</v>
      </c>
      <c r="F303" t="s">
        <v>1144</v>
      </c>
      <c r="H303" t="s">
        <v>21</v>
      </c>
      <c r="I303" t="s">
        <v>933</v>
      </c>
      <c r="J303" t="s">
        <v>1145</v>
      </c>
      <c r="K303" t="str">
        <f>"01777320324"</f>
        <v>0</v>
      </c>
      <c r="L303" t="s">
        <v>741</v>
      </c>
    </row>
    <row r="304" spans="1:12">
      <c r="B304">
        <v>105</v>
      </c>
      <c r="C304" t="s">
        <v>1146</v>
      </c>
      <c r="D304" t="s">
        <v>682</v>
      </c>
      <c r="F304" t="s">
        <v>683</v>
      </c>
      <c r="H304" t="s">
        <v>21</v>
      </c>
      <c r="I304" t="s">
        <v>933</v>
      </c>
      <c r="J304" t="s">
        <v>1147</v>
      </c>
    </row>
    <row r="305" spans="1:12">
      <c r="B305">
        <v>107</v>
      </c>
      <c r="C305" t="s">
        <v>1148</v>
      </c>
      <c r="D305" t="s">
        <v>1149</v>
      </c>
      <c r="F305" t="s">
        <v>1150</v>
      </c>
      <c r="H305" t="s">
        <v>21</v>
      </c>
      <c r="I305" t="s">
        <v>933</v>
      </c>
      <c r="J305" t="s">
        <v>1151</v>
      </c>
    </row>
    <row r="306" spans="1:12">
      <c r="B306">
        <v>109</v>
      </c>
      <c r="C306" t="s">
        <v>1152</v>
      </c>
      <c r="D306" t="s">
        <v>1153</v>
      </c>
      <c r="F306" t="s">
        <v>969</v>
      </c>
      <c r="H306" t="s">
        <v>21</v>
      </c>
      <c r="I306" t="s">
        <v>933</v>
      </c>
      <c r="J306" t="s">
        <v>1154</v>
      </c>
      <c r="K306" t="str">
        <f>"01742821909"</f>
        <v>0</v>
      </c>
      <c r="L306" t="s">
        <v>282</v>
      </c>
    </row>
    <row r="307" spans="1:12">
      <c r="B307">
        <v>110</v>
      </c>
      <c r="C307" t="s">
        <v>1155</v>
      </c>
      <c r="D307" t="s">
        <v>947</v>
      </c>
      <c r="F307" t="s">
        <v>145</v>
      </c>
      <c r="H307" t="s">
        <v>21</v>
      </c>
      <c r="I307" t="s">
        <v>933</v>
      </c>
      <c r="J307" t="s">
        <v>948</v>
      </c>
      <c r="K307" t="str">
        <f>"01746110126"</f>
        <v>0</v>
      </c>
      <c r="L307" t="s">
        <v>615</v>
      </c>
    </row>
    <row r="308" spans="1:12">
      <c r="B308">
        <v>111</v>
      </c>
      <c r="C308" t="s">
        <v>200</v>
      </c>
      <c r="D308" t="s">
        <v>1156</v>
      </c>
      <c r="F308" t="s">
        <v>60</v>
      </c>
      <c r="H308" t="s">
        <v>21</v>
      </c>
      <c r="I308" t="s">
        <v>933</v>
      </c>
      <c r="J308" t="s">
        <v>1157</v>
      </c>
      <c r="K308" t="str">
        <f>"01726147197"</f>
        <v>0</v>
      </c>
      <c r="L308" t="s">
        <v>1158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2026-10-11T09:11:11+00:00</dcterms:created>
  <dcterms:modified xsi:type="dcterms:W3CDTF">2026-10-11T09:11:11+00:00</dcterms:modified>
  <dc:title>Untitled Spreadsheet</dc:title>
  <dc:description/>
  <dc:subject/>
  <cp:keywords/>
  <cp:category/>
</cp:coreProperties>
</file>